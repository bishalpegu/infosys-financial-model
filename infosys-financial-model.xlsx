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halpegu/Downloads/"/>
    </mc:Choice>
  </mc:AlternateContent>
  <xr:revisionPtr revIDLastSave="0" documentId="8_{79A00A6A-E53A-B24C-B31E-42111A5C323C}" xr6:coauthVersionLast="47" xr6:coauthVersionMax="47" xr10:uidLastSave="{00000000-0000-0000-0000-000000000000}"/>
  <bookViews>
    <workbookView xWindow="0" yWindow="660" windowWidth="29400" windowHeight="18460" activeTab="4" xr2:uid="{C9F59835-6D7F-B140-8FC0-AEFBF3B7FC63}"/>
  </bookViews>
  <sheets>
    <sheet name="Cover" sheetId="1" r:id="rId1"/>
    <sheet name="Hist" sheetId="2" r:id="rId2"/>
    <sheet name="Assumptions" sheetId="3" r:id="rId3"/>
    <sheet name="IS" sheetId="4" r:id="rId4"/>
    <sheet name="BS" sheetId="5" r:id="rId5"/>
    <sheet name="CF" sheetId="6" r:id="rId6"/>
    <sheet name="WACC" sheetId="7" r:id="rId7"/>
    <sheet name="DCF" sheetId="8" r:id="rId8"/>
    <sheet name="Sources" sheetId="10" r:id="rId9"/>
    <sheet name="Checks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19" i="9"/>
  <c r="M19" i="9" s="1"/>
  <c r="H14" i="9"/>
  <c r="G11" i="9"/>
  <c r="F11" i="9"/>
  <c r="E11" i="9"/>
  <c r="D11" i="9"/>
  <c r="M11" i="9" s="1" a="1"/>
  <c r="G10" i="9"/>
  <c r="F10" i="9"/>
  <c r="E10" i="9"/>
  <c r="D10" i="9"/>
  <c r="C10" i="9"/>
  <c r="M10" i="9" s="1" a="1"/>
  <c r="G9" i="9"/>
  <c r="F9" i="9"/>
  <c r="E9" i="9"/>
  <c r="D9" i="9"/>
  <c r="C9" i="9"/>
  <c r="M9" i="9" s="1" a="1"/>
  <c r="G8" i="9"/>
  <c r="F8" i="9"/>
  <c r="E8" i="9"/>
  <c r="D8" i="9"/>
  <c r="C8" i="9"/>
  <c r="M8" i="9" s="1" a="1"/>
  <c r="G7" i="9"/>
  <c r="F7" i="9"/>
  <c r="E7" i="9"/>
  <c r="D7" i="9"/>
  <c r="C7" i="9"/>
  <c r="M7" i="9" s="1" a="1"/>
  <c r="G6" i="9"/>
  <c r="F6" i="9"/>
  <c r="E6" i="9"/>
  <c r="D6" i="9"/>
  <c r="C6" i="9"/>
  <c r="G5" i="9"/>
  <c r="F5" i="9"/>
  <c r="E5" i="9"/>
  <c r="D5" i="9"/>
  <c r="C5" i="9"/>
  <c r="C87" i="8"/>
  <c r="C86" i="8"/>
  <c r="C85" i="8"/>
  <c r="C84" i="8"/>
  <c r="C83" i="8"/>
  <c r="H82" i="8"/>
  <c r="G82" i="8"/>
  <c r="F82" i="8"/>
  <c r="E82" i="8"/>
  <c r="D82" i="8"/>
  <c r="C78" i="8"/>
  <c r="C77" i="8"/>
  <c r="C76" i="8"/>
  <c r="C75" i="8"/>
  <c r="C74" i="8"/>
  <c r="H73" i="8"/>
  <c r="G73" i="8"/>
  <c r="F73" i="8"/>
  <c r="E73" i="8"/>
  <c r="D73" i="8"/>
  <c r="L97" i="8"/>
  <c r="K97" i="8"/>
  <c r="J97" i="8"/>
  <c r="I97" i="8"/>
  <c r="H97" i="8"/>
  <c r="L96" i="8"/>
  <c r="K96" i="8"/>
  <c r="J96" i="8"/>
  <c r="I96" i="8"/>
  <c r="H96" i="8"/>
  <c r="H64" i="8"/>
  <c r="G64" i="8"/>
  <c r="F64" i="8"/>
  <c r="E64" i="8"/>
  <c r="D64" i="8"/>
  <c r="D57" i="8"/>
  <c r="D55" i="8"/>
  <c r="D50" i="8"/>
  <c r="D49" i="8"/>
  <c r="D48" i="8"/>
  <c r="D47" i="8"/>
  <c r="D46" i="8"/>
  <c r="D45" i="8"/>
  <c r="D44" i="8"/>
  <c r="G17" i="8"/>
  <c r="G18" i="8" s="1"/>
  <c r="G16" i="8"/>
  <c r="D8" i="8"/>
  <c r="D52" i="8" s="1"/>
  <c r="D6" i="8"/>
  <c r="D5" i="8"/>
  <c r="H27" i="8" s="1"/>
  <c r="I27" i="8" s="1"/>
  <c r="J27" i="8" s="1"/>
  <c r="K27" i="8" s="1"/>
  <c r="L27" i="8" s="1"/>
  <c r="D19" i="7"/>
  <c r="D17" i="7"/>
  <c r="D16" i="7"/>
  <c r="D18" i="7" s="1"/>
  <c r="D11" i="7"/>
  <c r="D8" i="7"/>
  <c r="D11" i="8" s="1"/>
  <c r="D54" i="8" s="1"/>
  <c r="G33" i="6"/>
  <c r="F33" i="6"/>
  <c r="E33" i="6"/>
  <c r="D33" i="6"/>
  <c r="C33" i="6"/>
  <c r="G30" i="6"/>
  <c r="F30" i="6"/>
  <c r="E30" i="6"/>
  <c r="D30" i="6"/>
  <c r="C30" i="6"/>
  <c r="G29" i="6"/>
  <c r="F29" i="6"/>
  <c r="E29" i="6"/>
  <c r="D29" i="6"/>
  <c r="C29" i="6"/>
  <c r="G26" i="6"/>
  <c r="F26" i="6"/>
  <c r="E26" i="6"/>
  <c r="D26" i="6"/>
  <c r="C26" i="6"/>
  <c r="L25" i="6"/>
  <c r="K25" i="6"/>
  <c r="J25" i="6"/>
  <c r="I25" i="6"/>
  <c r="H25" i="6"/>
  <c r="G25" i="6"/>
  <c r="F25" i="6"/>
  <c r="E25" i="6"/>
  <c r="D25" i="6"/>
  <c r="C25" i="6"/>
  <c r="C29" i="3" s="1"/>
  <c r="G24" i="6"/>
  <c r="F24" i="6"/>
  <c r="E24" i="6"/>
  <c r="D24" i="6"/>
  <c r="C24" i="6"/>
  <c r="G23" i="6"/>
  <c r="F23" i="6"/>
  <c r="E23" i="6"/>
  <c r="D23" i="6"/>
  <c r="D24" i="3" s="1"/>
  <c r="C23" i="6"/>
  <c r="C24" i="3" s="1"/>
  <c r="G20" i="6"/>
  <c r="G28" i="6" s="1"/>
  <c r="F20" i="6"/>
  <c r="F28" i="6" s="1"/>
  <c r="E20" i="6"/>
  <c r="E28" i="6" s="1"/>
  <c r="D20" i="6"/>
  <c r="D28" i="6" s="1"/>
  <c r="C20" i="6"/>
  <c r="C28" i="6" s="1"/>
  <c r="L18" i="6"/>
  <c r="K18" i="6"/>
  <c r="J18" i="6"/>
  <c r="I18" i="6"/>
  <c r="G18" i="6"/>
  <c r="F18" i="6"/>
  <c r="E18" i="6"/>
  <c r="D18" i="6"/>
  <c r="C18" i="6"/>
  <c r="G17" i="6"/>
  <c r="F17" i="6"/>
  <c r="E17" i="6"/>
  <c r="D17" i="6"/>
  <c r="C17" i="6"/>
  <c r="G14" i="6"/>
  <c r="F14" i="6"/>
  <c r="E14" i="6"/>
  <c r="D14" i="6"/>
  <c r="C14" i="6"/>
  <c r="G37" i="5"/>
  <c r="F37" i="5"/>
  <c r="E37" i="5"/>
  <c r="D37" i="5"/>
  <c r="C37" i="5"/>
  <c r="G29" i="5"/>
  <c r="F29" i="5"/>
  <c r="E29" i="5"/>
  <c r="D29" i="5"/>
  <c r="C29" i="5"/>
  <c r="G27" i="5"/>
  <c r="F27" i="5"/>
  <c r="E27" i="5"/>
  <c r="D27" i="5"/>
  <c r="C27" i="5"/>
  <c r="G26" i="5"/>
  <c r="F26" i="5"/>
  <c r="F28" i="5" s="1"/>
  <c r="F30" i="5" s="1"/>
  <c r="E26" i="5"/>
  <c r="E28" i="5" s="1"/>
  <c r="E30" i="5" s="1"/>
  <c r="D26" i="5"/>
  <c r="D28" i="5" s="1"/>
  <c r="D30" i="5" s="1"/>
  <c r="C26" i="5"/>
  <c r="C28" i="5" s="1"/>
  <c r="C30" i="5" s="1"/>
  <c r="G22" i="5"/>
  <c r="F22" i="5"/>
  <c r="F23" i="5" s="1"/>
  <c r="F31" i="5" s="1"/>
  <c r="E22" i="5"/>
  <c r="E23" i="5" s="1"/>
  <c r="E31" i="5" s="1"/>
  <c r="D22" i="5"/>
  <c r="D23" i="5" s="1"/>
  <c r="D31" i="5" s="1"/>
  <c r="C22" i="5"/>
  <c r="C23" i="5" s="1"/>
  <c r="C31" i="5" s="1"/>
  <c r="G21" i="5"/>
  <c r="H18" i="4" s="1"/>
  <c r="F21" i="5"/>
  <c r="E21" i="5"/>
  <c r="D21" i="5"/>
  <c r="C21" i="5"/>
  <c r="G20" i="5"/>
  <c r="H20" i="5" s="1"/>
  <c r="I20" i="5" s="1"/>
  <c r="J20" i="5" s="1"/>
  <c r="K20" i="5" s="1"/>
  <c r="L20" i="5" s="1"/>
  <c r="F20" i="5"/>
  <c r="E20" i="5"/>
  <c r="D20" i="5"/>
  <c r="C20" i="5"/>
  <c r="G19" i="5"/>
  <c r="F19" i="5"/>
  <c r="E19" i="5"/>
  <c r="D19" i="5"/>
  <c r="C19" i="5"/>
  <c r="G18" i="5"/>
  <c r="F18" i="5"/>
  <c r="E18" i="5"/>
  <c r="D18" i="5"/>
  <c r="C18" i="5"/>
  <c r="G14" i="5"/>
  <c r="H14" i="5" s="1"/>
  <c r="I14" i="5" s="1"/>
  <c r="J14" i="5" s="1"/>
  <c r="K14" i="5" s="1"/>
  <c r="L14" i="5" s="1"/>
  <c r="F14" i="5"/>
  <c r="E14" i="5"/>
  <c r="D14" i="5"/>
  <c r="C14" i="5"/>
  <c r="G13" i="5"/>
  <c r="F13" i="5"/>
  <c r="E13" i="5"/>
  <c r="D13" i="5"/>
  <c r="C13" i="5"/>
  <c r="G12" i="5"/>
  <c r="F12" i="5"/>
  <c r="E12" i="5"/>
  <c r="D12" i="5"/>
  <c r="C12" i="5"/>
  <c r="G11" i="5"/>
  <c r="H11" i="5" s="1"/>
  <c r="I11" i="5" s="1"/>
  <c r="J11" i="5" s="1"/>
  <c r="K11" i="5" s="1"/>
  <c r="L11" i="5" s="1"/>
  <c r="F11" i="5"/>
  <c r="E11" i="5"/>
  <c r="D11" i="5"/>
  <c r="C11" i="5"/>
  <c r="G10" i="5"/>
  <c r="F10" i="5"/>
  <c r="E10" i="5"/>
  <c r="D10" i="5"/>
  <c r="C10" i="5"/>
  <c r="G9" i="5"/>
  <c r="F9" i="5"/>
  <c r="E9" i="5"/>
  <c r="D9" i="5"/>
  <c r="C9" i="5"/>
  <c r="G8" i="5"/>
  <c r="H8" i="5" s="1"/>
  <c r="I8" i="5" s="1"/>
  <c r="J8" i="5" s="1"/>
  <c r="K8" i="5" s="1"/>
  <c r="L8" i="5" s="1"/>
  <c r="F8" i="5"/>
  <c r="E8" i="5"/>
  <c r="D8" i="5"/>
  <c r="C8" i="5"/>
  <c r="G7" i="5"/>
  <c r="H7" i="5" s="1"/>
  <c r="F7" i="5"/>
  <c r="E7" i="5"/>
  <c r="D7" i="5"/>
  <c r="C7" i="5"/>
  <c r="G6" i="5"/>
  <c r="H17" i="4" s="1"/>
  <c r="F6" i="5"/>
  <c r="E6" i="5"/>
  <c r="D6" i="5"/>
  <c r="C6" i="5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4" i="4"/>
  <c r="F24" i="4"/>
  <c r="E24" i="4"/>
  <c r="D24" i="4"/>
  <c r="C24" i="4"/>
  <c r="G21" i="4"/>
  <c r="F21" i="4"/>
  <c r="E21" i="4"/>
  <c r="D21" i="4"/>
  <c r="C21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4" i="4"/>
  <c r="F14" i="4"/>
  <c r="E14" i="4"/>
  <c r="D14" i="4"/>
  <c r="C14" i="4"/>
  <c r="G10" i="4"/>
  <c r="G11" i="4" s="1"/>
  <c r="F10" i="4"/>
  <c r="F11" i="4" s="1"/>
  <c r="E10" i="4"/>
  <c r="E11" i="4" s="1"/>
  <c r="D10" i="4"/>
  <c r="D11" i="4" s="1"/>
  <c r="C10" i="4"/>
  <c r="C11" i="4" s="1"/>
  <c r="G8" i="4"/>
  <c r="G9" i="4" s="1"/>
  <c r="G11" i="3" s="1"/>
  <c r="F8" i="4"/>
  <c r="F9" i="4" s="1"/>
  <c r="F11" i="3" s="1"/>
  <c r="E8" i="4"/>
  <c r="E9" i="4" s="1"/>
  <c r="E11" i="3" s="1"/>
  <c r="D8" i="4"/>
  <c r="D9" i="4" s="1"/>
  <c r="D11" i="3" s="1"/>
  <c r="C8" i="4"/>
  <c r="C9" i="4" s="1"/>
  <c r="C11" i="3" s="1"/>
  <c r="G6" i="4"/>
  <c r="F6" i="4"/>
  <c r="E6" i="4"/>
  <c r="D6" i="4"/>
  <c r="C6" i="4"/>
  <c r="G26" i="3"/>
  <c r="G25" i="3"/>
  <c r="F26" i="3"/>
  <c r="F25" i="3"/>
  <c r="E26" i="3"/>
  <c r="E25" i="3"/>
  <c r="D26" i="3"/>
  <c r="D25" i="3"/>
  <c r="G31" i="3"/>
  <c r="G30" i="3"/>
  <c r="G29" i="3"/>
  <c r="G24" i="3"/>
  <c r="G23" i="3"/>
  <c r="G22" i="3"/>
  <c r="G21" i="3"/>
  <c r="G20" i="3"/>
  <c r="G19" i="3"/>
  <c r="F31" i="3"/>
  <c r="F30" i="3"/>
  <c r="F29" i="3"/>
  <c r="F24" i="3"/>
  <c r="F23" i="3"/>
  <c r="F22" i="3"/>
  <c r="F21" i="3"/>
  <c r="F20" i="3"/>
  <c r="F19" i="3"/>
  <c r="E31" i="3"/>
  <c r="E30" i="3"/>
  <c r="E29" i="3"/>
  <c r="E24" i="3"/>
  <c r="E23" i="3"/>
  <c r="E22" i="3"/>
  <c r="E21" i="3"/>
  <c r="E20" i="3"/>
  <c r="E19" i="3"/>
  <c r="D31" i="3"/>
  <c r="D30" i="3"/>
  <c r="D29" i="3"/>
  <c r="C31" i="3"/>
  <c r="C30" i="3"/>
  <c r="H31" i="3"/>
  <c r="H30" i="3"/>
  <c r="H18" i="6" s="1"/>
  <c r="G14" i="3"/>
  <c r="G13" i="3"/>
  <c r="F14" i="3"/>
  <c r="F13" i="3"/>
  <c r="E14" i="3"/>
  <c r="E13" i="3"/>
  <c r="D14" i="3"/>
  <c r="D13" i="3"/>
  <c r="C14" i="3"/>
  <c r="C13" i="3"/>
  <c r="G8" i="3"/>
  <c r="L16" i="3"/>
  <c r="L94" i="8" s="1"/>
  <c r="K16" i="3"/>
  <c r="K94" i="8" s="1"/>
  <c r="J16" i="3"/>
  <c r="J94" i="8" s="1"/>
  <c r="I16" i="3"/>
  <c r="I94" i="8" s="1"/>
  <c r="H16" i="3"/>
  <c r="L15" i="3"/>
  <c r="L98" i="8" s="1"/>
  <c r="K15" i="3"/>
  <c r="K98" i="8" s="1"/>
  <c r="J15" i="3"/>
  <c r="J98" i="8" s="1"/>
  <c r="I15" i="3"/>
  <c r="I98" i="8" s="1"/>
  <c r="H15" i="3"/>
  <c r="H98" i="8" s="1"/>
  <c r="L14" i="3"/>
  <c r="K14" i="3"/>
  <c r="J14" i="3"/>
  <c r="I14" i="3"/>
  <c r="H14" i="3"/>
  <c r="L13" i="3"/>
  <c r="L95" i="8" s="1"/>
  <c r="K13" i="3"/>
  <c r="K95" i="8" s="1"/>
  <c r="J13" i="3"/>
  <c r="J95" i="8" s="1"/>
  <c r="I13" i="3"/>
  <c r="I95" i="8" s="1"/>
  <c r="H13" i="3"/>
  <c r="H95" i="8" s="1"/>
  <c r="L12" i="3"/>
  <c r="L93" i="8" s="1"/>
  <c r="K12" i="3"/>
  <c r="K93" i="8" s="1"/>
  <c r="J12" i="3"/>
  <c r="J93" i="8" s="1"/>
  <c r="I12" i="3"/>
  <c r="I93" i="8" s="1"/>
  <c r="H12" i="3"/>
  <c r="H93" i="8" s="1"/>
  <c r="L11" i="3"/>
  <c r="K11" i="3"/>
  <c r="J11" i="3"/>
  <c r="I11" i="3"/>
  <c r="H11" i="3"/>
  <c r="L9" i="3"/>
  <c r="L92" i="8" s="1"/>
  <c r="K9" i="3"/>
  <c r="K92" i="8" s="1"/>
  <c r="J9" i="3"/>
  <c r="J92" i="8" s="1"/>
  <c r="I9" i="3"/>
  <c r="I92" i="8" s="1"/>
  <c r="H9" i="3"/>
  <c r="H92" i="8" s="1"/>
  <c r="L8" i="3"/>
  <c r="K8" i="3"/>
  <c r="J8" i="3"/>
  <c r="I8" i="3"/>
  <c r="H8" i="3"/>
  <c r="E4" i="3"/>
  <c r="A2" i="8" s="1"/>
  <c r="C87" i="2"/>
  <c r="D12" i="7" l="1"/>
  <c r="D13" i="7" s="1"/>
  <c r="H94" i="8"/>
  <c r="L10" i="3"/>
  <c r="L91" i="8"/>
  <c r="K10" i="3"/>
  <c r="K91" i="8"/>
  <c r="J10" i="3"/>
  <c r="J91" i="8"/>
  <c r="I10" i="3"/>
  <c r="I91" i="8"/>
  <c r="H10" i="3"/>
  <c r="H6" i="4" s="1"/>
  <c r="H16" i="8" s="1"/>
  <c r="H15" i="9" s="1"/>
  <c r="H91" i="8"/>
  <c r="D20" i="7"/>
  <c r="G28" i="5"/>
  <c r="G30" i="5" s="1"/>
  <c r="H26" i="5"/>
  <c r="G23" i="5"/>
  <c r="G31" i="5" s="1"/>
  <c r="H22" i="5"/>
  <c r="I22" i="5" s="1"/>
  <c r="J22" i="5" s="1"/>
  <c r="K22" i="5" s="1"/>
  <c r="L22" i="5" s="1"/>
  <c r="D20" i="3"/>
  <c r="D15" i="5"/>
  <c r="D32" i="5" s="1"/>
  <c r="D34" i="5"/>
  <c r="D35" i="5" s="1"/>
  <c r="C34" i="5"/>
  <c r="C35" i="5" s="1"/>
  <c r="C20" i="3"/>
  <c r="C15" i="5"/>
  <c r="C32" i="5" s="1"/>
  <c r="G15" i="5"/>
  <c r="G32" i="5" s="1"/>
  <c r="G34" i="5"/>
  <c r="G35" i="5" s="1"/>
  <c r="G38" i="5"/>
  <c r="G15" i="3" s="1"/>
  <c r="F34" i="5"/>
  <c r="F35" i="5" s="1"/>
  <c r="F38" i="5"/>
  <c r="F15" i="3" s="1"/>
  <c r="F15" i="5"/>
  <c r="F32" i="5" s="1"/>
  <c r="E34" i="5"/>
  <c r="E35" i="5" s="1"/>
  <c r="E38" i="5"/>
  <c r="E15" i="3" s="1"/>
  <c r="E15" i="5"/>
  <c r="E32" i="5" s="1"/>
  <c r="I7" i="5"/>
  <c r="H19" i="6"/>
  <c r="G7" i="4"/>
  <c r="G10" i="3" s="1"/>
  <c r="G12" i="4"/>
  <c r="F7" i="4"/>
  <c r="F10" i="3" s="1"/>
  <c r="F12" i="4"/>
  <c r="E12" i="4"/>
  <c r="E7" i="4"/>
  <c r="E10" i="3" s="1"/>
  <c r="D19" i="3"/>
  <c r="D12" i="4"/>
  <c r="D7" i="4"/>
  <c r="D10" i="3" s="1"/>
  <c r="D38" i="5"/>
  <c r="D15" i="3" s="1"/>
  <c r="D23" i="3"/>
  <c r="D22" i="3"/>
  <c r="D21" i="3"/>
  <c r="C19" i="3"/>
  <c r="C12" i="4"/>
  <c r="C21" i="3"/>
  <c r="C22" i="3"/>
  <c r="C23" i="3"/>
  <c r="C38" i="5"/>
  <c r="C15" i="3" s="1"/>
  <c r="H27" i="4"/>
  <c r="I31" i="3"/>
  <c r="A2" i="4"/>
  <c r="A2" i="6"/>
  <c r="A2" i="5"/>
  <c r="F31" i="6"/>
  <c r="H13" i="5"/>
  <c r="I13" i="5" s="1"/>
  <c r="J13" i="5" s="1"/>
  <c r="K13" i="5" s="1"/>
  <c r="L13" i="5" s="1"/>
  <c r="G31" i="6"/>
  <c r="H30" i="6" s="1"/>
  <c r="C31" i="6"/>
  <c r="D31" i="6"/>
  <c r="E31" i="6"/>
  <c r="D22" i="7" l="1"/>
  <c r="D21" i="7"/>
  <c r="D25" i="7" s="1"/>
  <c r="D9" i="8" s="1"/>
  <c r="I26" i="5"/>
  <c r="J7" i="5"/>
  <c r="I19" i="6"/>
  <c r="I6" i="4"/>
  <c r="I16" i="8" s="1"/>
  <c r="I15" i="9" s="1"/>
  <c r="H7" i="4"/>
  <c r="H9" i="5"/>
  <c r="H17" i="6"/>
  <c r="H22" i="8" s="1"/>
  <c r="H8" i="4"/>
  <c r="H23" i="6"/>
  <c r="H10" i="4"/>
  <c r="H11" i="4" s="1"/>
  <c r="H14" i="4"/>
  <c r="H29" i="4"/>
  <c r="H8" i="6" s="1"/>
  <c r="H10" i="5"/>
  <c r="H18" i="5"/>
  <c r="H19" i="5"/>
  <c r="H12" i="6" s="1"/>
  <c r="H21" i="5"/>
  <c r="G13" i="4"/>
  <c r="G15" i="4"/>
  <c r="F13" i="4"/>
  <c r="F15" i="4"/>
  <c r="E13" i="4"/>
  <c r="E15" i="4"/>
  <c r="D13" i="4"/>
  <c r="D15" i="4"/>
  <c r="C13" i="4"/>
  <c r="C15" i="4"/>
  <c r="J31" i="3"/>
  <c r="I27" i="4"/>
  <c r="C16" i="9" l="1"/>
  <c r="M16" i="9" s="1"/>
  <c r="C69" i="8"/>
  <c r="C68" i="8"/>
  <c r="C67" i="8"/>
  <c r="C66" i="8"/>
  <c r="C65" i="8"/>
  <c r="H7" i="6"/>
  <c r="H21" i="8"/>
  <c r="L28" i="8"/>
  <c r="J28" i="8"/>
  <c r="I28" i="8"/>
  <c r="H28" i="8"/>
  <c r="K28" i="8"/>
  <c r="J26" i="5"/>
  <c r="K7" i="5"/>
  <c r="J19" i="6"/>
  <c r="I7" i="4"/>
  <c r="I8" i="4"/>
  <c r="I9" i="4" s="1"/>
  <c r="I17" i="6"/>
  <c r="I23" i="6"/>
  <c r="I10" i="4"/>
  <c r="I14" i="4"/>
  <c r="I29" i="4"/>
  <c r="I8" i="6" s="1"/>
  <c r="I10" i="5"/>
  <c r="I10" i="6" s="1"/>
  <c r="I18" i="5"/>
  <c r="I19" i="5"/>
  <c r="I12" i="6" s="1"/>
  <c r="I21" i="5"/>
  <c r="J6" i="4"/>
  <c r="J16" i="8" s="1"/>
  <c r="J15" i="9" s="1"/>
  <c r="I9" i="5"/>
  <c r="H9" i="6"/>
  <c r="H38" i="5"/>
  <c r="I9" i="6"/>
  <c r="H34" i="5"/>
  <c r="H35" i="5" s="1"/>
  <c r="H20" i="6"/>
  <c r="H10" i="6"/>
  <c r="H23" i="5"/>
  <c r="H11" i="6"/>
  <c r="H36" i="5"/>
  <c r="I18" i="4"/>
  <c r="G16" i="4"/>
  <c r="G12" i="3" s="1"/>
  <c r="G20" i="4"/>
  <c r="F16" i="4"/>
  <c r="F12" i="3" s="1"/>
  <c r="F20" i="4"/>
  <c r="E16" i="4"/>
  <c r="E12" i="3" s="1"/>
  <c r="E20" i="4"/>
  <c r="D16" i="4"/>
  <c r="D12" i="3" s="1"/>
  <c r="D20" i="4"/>
  <c r="C16" i="4"/>
  <c r="C12" i="3" s="1"/>
  <c r="C20" i="4"/>
  <c r="K31" i="3"/>
  <c r="J27" i="4"/>
  <c r="H9" i="4"/>
  <c r="H12" i="4"/>
  <c r="D78" i="8" l="1"/>
  <c r="F74" i="8"/>
  <c r="E76" i="8"/>
  <c r="E74" i="8"/>
  <c r="F77" i="8"/>
  <c r="H78" i="8"/>
  <c r="E77" i="8"/>
  <c r="F76" i="8"/>
  <c r="D76" i="8"/>
  <c r="G75" i="8"/>
  <c r="E75" i="8"/>
  <c r="H74" i="8"/>
  <c r="G76" i="8"/>
  <c r="F78" i="8"/>
  <c r="H76" i="8"/>
  <c r="F75" i="8"/>
  <c r="H77" i="8"/>
  <c r="D74" i="8"/>
  <c r="D75" i="8"/>
  <c r="G78" i="8"/>
  <c r="H75" i="8"/>
  <c r="G74" i="8"/>
  <c r="D77" i="8"/>
  <c r="E78" i="8"/>
  <c r="G77" i="8"/>
  <c r="I20" i="6"/>
  <c r="I22" i="8"/>
  <c r="I11" i="4"/>
  <c r="I12" i="4"/>
  <c r="I7" i="6"/>
  <c r="I21" i="8"/>
  <c r="H12" i="5"/>
  <c r="H23" i="8"/>
  <c r="D35" i="8"/>
  <c r="K26" i="5"/>
  <c r="L7" i="5"/>
  <c r="L19" i="6" s="1"/>
  <c r="K19" i="6"/>
  <c r="I23" i="5"/>
  <c r="I11" i="6"/>
  <c r="I13" i="6" s="1"/>
  <c r="I24" i="8" s="1"/>
  <c r="I36" i="5"/>
  <c r="J18" i="4"/>
  <c r="J7" i="4"/>
  <c r="J9" i="5"/>
  <c r="J9" i="6" s="1"/>
  <c r="J17" i="6"/>
  <c r="K6" i="4"/>
  <c r="K16" i="8" s="1"/>
  <c r="K15" i="9" s="1"/>
  <c r="J8" i="4"/>
  <c r="J9" i="4" s="1"/>
  <c r="J23" i="6"/>
  <c r="J10" i="4"/>
  <c r="J14" i="4"/>
  <c r="J29" i="4"/>
  <c r="J8" i="6" s="1"/>
  <c r="J10" i="5"/>
  <c r="J18" i="5"/>
  <c r="J19" i="5"/>
  <c r="J12" i="6" s="1"/>
  <c r="J21" i="5"/>
  <c r="I34" i="5"/>
  <c r="I35" i="5" s="1"/>
  <c r="I38" i="5"/>
  <c r="G22" i="4"/>
  <c r="G16" i="3" s="1"/>
  <c r="G23" i="4"/>
  <c r="G30" i="4"/>
  <c r="F22" i="4"/>
  <c r="F16" i="3" s="1"/>
  <c r="F23" i="4"/>
  <c r="F30" i="4"/>
  <c r="E22" i="4"/>
  <c r="E16" i="3" s="1"/>
  <c r="E23" i="4"/>
  <c r="E30" i="4"/>
  <c r="D22" i="4"/>
  <c r="D16" i="3" s="1"/>
  <c r="D23" i="4"/>
  <c r="D30" i="4"/>
  <c r="C22" i="4"/>
  <c r="C16" i="3" s="1"/>
  <c r="C23" i="4"/>
  <c r="C30" i="4"/>
  <c r="L31" i="3"/>
  <c r="L27" i="4" s="1"/>
  <c r="K27" i="4"/>
  <c r="H15" i="4"/>
  <c r="H17" i="8" s="1"/>
  <c r="H13" i="4"/>
  <c r="H13" i="6"/>
  <c r="H24" i="8" s="1"/>
  <c r="I13" i="4" l="1"/>
  <c r="I15" i="4"/>
  <c r="I17" i="8" s="1"/>
  <c r="I18" i="8"/>
  <c r="I19" i="8"/>
  <c r="I20" i="8" s="1"/>
  <c r="I12" i="5"/>
  <c r="I23" i="8"/>
  <c r="J20" i="6"/>
  <c r="J22" i="8"/>
  <c r="J7" i="6"/>
  <c r="J21" i="8"/>
  <c r="H19" i="8"/>
  <c r="H20" i="8" s="1"/>
  <c r="H25" i="8" s="1"/>
  <c r="H18" i="8"/>
  <c r="L26" i="5"/>
  <c r="I16" i="4"/>
  <c r="J38" i="5"/>
  <c r="J34" i="5"/>
  <c r="J35" i="5" s="1"/>
  <c r="K23" i="6"/>
  <c r="K10" i="4"/>
  <c r="K11" i="4" s="1"/>
  <c r="K14" i="4"/>
  <c r="K29" i="4"/>
  <c r="K8" i="6" s="1"/>
  <c r="K10" i="5"/>
  <c r="K18" i="5"/>
  <c r="K19" i="5"/>
  <c r="K12" i="6" s="1"/>
  <c r="K7" i="4"/>
  <c r="K8" i="4"/>
  <c r="K9" i="5"/>
  <c r="K9" i="6" s="1"/>
  <c r="K21" i="5"/>
  <c r="L6" i="4"/>
  <c r="L16" i="8" s="1"/>
  <c r="L15" i="9" s="1"/>
  <c r="M15" i="9" s="1" a="1"/>
  <c r="K17" i="6"/>
  <c r="J10" i="6"/>
  <c r="K10" i="6"/>
  <c r="J23" i="5"/>
  <c r="J11" i="6"/>
  <c r="J36" i="5"/>
  <c r="K18" i="4"/>
  <c r="G34" i="6"/>
  <c r="G25" i="4"/>
  <c r="G27" i="3"/>
  <c r="F34" i="6"/>
  <c r="F25" i="4"/>
  <c r="F27" i="3"/>
  <c r="E34" i="6"/>
  <c r="E25" i="4"/>
  <c r="E27" i="3"/>
  <c r="D34" i="6"/>
  <c r="D25" i="4"/>
  <c r="D27" i="3"/>
  <c r="C34" i="6"/>
  <c r="C25" i="4"/>
  <c r="C27" i="3"/>
  <c r="H16" i="4"/>
  <c r="H20" i="4"/>
  <c r="J11" i="4"/>
  <c r="J12" i="4"/>
  <c r="H29" i="8" l="1"/>
  <c r="H26" i="8"/>
  <c r="I25" i="8"/>
  <c r="K7" i="6"/>
  <c r="K21" i="8"/>
  <c r="K20" i="6"/>
  <c r="K22" i="8"/>
  <c r="J12" i="5"/>
  <c r="J23" i="8"/>
  <c r="K23" i="5"/>
  <c r="K11" i="6"/>
  <c r="K13" i="6" s="1"/>
  <c r="K24" i="8" s="1"/>
  <c r="K34" i="5"/>
  <c r="K35" i="5" s="1"/>
  <c r="K38" i="5"/>
  <c r="K36" i="5"/>
  <c r="L18" i="4"/>
  <c r="L7" i="4"/>
  <c r="L9" i="5"/>
  <c r="L9" i="6" s="1"/>
  <c r="L17" i="6"/>
  <c r="L8" i="4"/>
  <c r="L23" i="6"/>
  <c r="L10" i="4"/>
  <c r="L11" i="4" s="1"/>
  <c r="L14" i="4"/>
  <c r="L29" i="4"/>
  <c r="L8" i="6" s="1"/>
  <c r="L10" i="5"/>
  <c r="L10" i="6" s="1"/>
  <c r="L18" i="5"/>
  <c r="L19" i="5"/>
  <c r="L12" i="6" s="1"/>
  <c r="L21" i="5"/>
  <c r="G26" i="4"/>
  <c r="G28" i="3"/>
  <c r="F26" i="4"/>
  <c r="F28" i="3"/>
  <c r="E26" i="4"/>
  <c r="E28" i="3"/>
  <c r="D26" i="4"/>
  <c r="D28" i="3"/>
  <c r="C28" i="3"/>
  <c r="C26" i="4"/>
  <c r="H21" i="4"/>
  <c r="J15" i="4"/>
  <c r="J17" i="8" s="1"/>
  <c r="J13" i="4"/>
  <c r="J13" i="6"/>
  <c r="J24" i="8" s="1"/>
  <c r="K9" i="4"/>
  <c r="K12" i="4"/>
  <c r="I26" i="8" l="1"/>
  <c r="I29" i="8"/>
  <c r="L36" i="5"/>
  <c r="K12" i="5"/>
  <c r="K23" i="8"/>
  <c r="L20" i="6"/>
  <c r="L22" i="8"/>
  <c r="L9" i="4"/>
  <c r="L12" i="4"/>
  <c r="L7" i="6"/>
  <c r="L21" i="8"/>
  <c r="J18" i="8"/>
  <c r="J19" i="8"/>
  <c r="J20" i="8" s="1"/>
  <c r="J25" i="8" s="1"/>
  <c r="L38" i="5"/>
  <c r="L34" i="5"/>
  <c r="L35" i="5" s="1"/>
  <c r="L23" i="5"/>
  <c r="L11" i="6"/>
  <c r="L13" i="6" s="1"/>
  <c r="L24" i="8" s="1"/>
  <c r="J16" i="4"/>
  <c r="K15" i="4"/>
  <c r="K17" i="8" s="1"/>
  <c r="K13" i="4"/>
  <c r="H22" i="4"/>
  <c r="H23" i="4"/>
  <c r="L23" i="8" l="1"/>
  <c r="L12" i="5"/>
  <c r="J29" i="8"/>
  <c r="J26" i="8"/>
  <c r="L13" i="4"/>
  <c r="L15" i="4"/>
  <c r="K19" i="8"/>
  <c r="K20" i="8" s="1"/>
  <c r="K25" i="8" s="1"/>
  <c r="K18" i="8"/>
  <c r="K16" i="4"/>
  <c r="H6" i="6"/>
  <c r="H24" i="4"/>
  <c r="L17" i="8" l="1"/>
  <c r="L16" i="4"/>
  <c r="L18" i="8"/>
  <c r="L19" i="8"/>
  <c r="L20" i="8" s="1"/>
  <c r="L25" i="8" s="1"/>
  <c r="K29" i="8"/>
  <c r="K26" i="8"/>
  <c r="D85" i="8" a="1"/>
  <c r="H84" i="8" a="1"/>
  <c r="F84" i="8" a="1"/>
  <c r="F68" i="8" a="1"/>
  <c r="D86" i="8" a="1"/>
  <c r="F85" i="8" a="1"/>
  <c r="G84" i="8" a="1"/>
  <c r="H85" i="8" a="1"/>
  <c r="G86" i="8" a="1"/>
  <c r="E87" i="8" a="1"/>
  <c r="F86" i="8" a="1"/>
  <c r="G85" i="8" a="1"/>
  <c r="E86" i="8" a="1"/>
  <c r="G65" i="8" a="1"/>
  <c r="H83" i="8" a="1"/>
  <c r="H87" i="8" a="1"/>
  <c r="H86" i="8" a="1"/>
  <c r="G87" i="8" a="1"/>
  <c r="E84" i="8" a="1"/>
  <c r="F87" i="8" a="1"/>
  <c r="G83" i="8" a="1"/>
  <c r="D66" i="8" a="1"/>
  <c r="F66" i="8" a="1"/>
  <c r="H66" i="8" a="1"/>
  <c r="G67" i="8" a="1"/>
  <c r="G68" i="8" a="1"/>
  <c r="D68" i="8" a="1"/>
  <c r="D69" i="8" a="1"/>
  <c r="H69" i="8" a="1"/>
  <c r="E68" i="8" a="1"/>
  <c r="D84" i="8" a="1"/>
  <c r="E85" i="8" a="1"/>
  <c r="E83" i="8" a="1"/>
  <c r="G69" i="8" a="1"/>
  <c r="E65" i="8" a="1"/>
  <c r="F83" i="8" a="1"/>
  <c r="H14" i="6"/>
  <c r="H12" i="9"/>
  <c r="H33" i="6"/>
  <c r="H34" i="6" s="1"/>
  <c r="H29" i="5"/>
  <c r="H25" i="4"/>
  <c r="E67" i="8" l="1" a="1"/>
  <c r="E69" i="8" a="1"/>
  <c r="D67" i="8" a="1"/>
  <c r="F65" i="8" a="1"/>
  <c r="H67" i="8" a="1"/>
  <c r="E66" i="8" a="1"/>
  <c r="D87" i="8" a="1"/>
  <c r="F67" i="8" a="1"/>
  <c r="H65" i="8" a="1"/>
  <c r="D83" i="8" a="1"/>
  <c r="H68" i="8" a="1"/>
  <c r="G66" i="8" a="1"/>
  <c r="D65" i="8" a="1"/>
  <c r="F69" i="8" a="1"/>
  <c r="L29" i="8"/>
  <c r="D40" i="8" s="1"/>
  <c r="L26" i="8"/>
  <c r="D32" i="8"/>
  <c r="D33" i="8" s="1"/>
  <c r="D34" i="8" s="1"/>
  <c r="H24" i="6"/>
  <c r="H28" i="4"/>
  <c r="H26" i="4"/>
  <c r="D36" i="8" l="1"/>
  <c r="D41" i="8" s="1"/>
  <c r="D37" i="8"/>
  <c r="H26" i="6"/>
  <c r="H28" i="6" s="1"/>
  <c r="H31" i="6" s="1"/>
  <c r="H27" i="5"/>
  <c r="D42" i="8" l="1"/>
  <c r="D43" i="8" s="1"/>
  <c r="H6" i="5"/>
  <c r="I30" i="6"/>
  <c r="I14" i="9" s="1"/>
  <c r="H28" i="5"/>
  <c r="H30" i="5" s="1"/>
  <c r="D51" i="8" l="1"/>
  <c r="D53" i="8" s="1"/>
  <c r="D56" i="8" s="1"/>
  <c r="D59" i="8"/>
  <c r="H6" i="9"/>
  <c r="H31" i="5"/>
  <c r="H13" i="9"/>
  <c r="H15" i="5"/>
  <c r="H32" i="5" s="1"/>
  <c r="H5" i="9" s="1"/>
  <c r="H37" i="5"/>
  <c r="I17" i="4"/>
  <c r="I20" i="4" s="1"/>
  <c r="D60" i="8" l="1"/>
  <c r="D100" i="8"/>
  <c r="C17" i="9" s="1"/>
  <c r="M17" i="9" s="1"/>
  <c r="D58" i="8"/>
  <c r="I21" i="4"/>
  <c r="I22" i="4" l="1"/>
  <c r="I23" i="4"/>
  <c r="I6" i="6" l="1"/>
  <c r="I24" i="4"/>
  <c r="I14" i="6" l="1"/>
  <c r="I12" i="9"/>
  <c r="I33" i="6"/>
  <c r="I34" i="6" s="1"/>
  <c r="I29" i="5"/>
  <c r="I25" i="4"/>
  <c r="I24" i="6" l="1"/>
  <c r="I28" i="4"/>
  <c r="I26" i="4"/>
  <c r="I26" i="6" l="1"/>
  <c r="I28" i="6" s="1"/>
  <c r="I31" i="6" s="1"/>
  <c r="I27" i="5"/>
  <c r="I28" i="5" s="1"/>
  <c r="I30" i="5" s="1"/>
  <c r="I6" i="5" l="1"/>
  <c r="J30" i="6"/>
  <c r="J14" i="9" s="1"/>
  <c r="I31" i="5"/>
  <c r="I13" i="9"/>
  <c r="I6" i="9" l="1"/>
  <c r="I15" i="5"/>
  <c r="I32" i="5" s="1"/>
  <c r="I5" i="9" s="1"/>
  <c r="I37" i="5"/>
  <c r="J17" i="4"/>
  <c r="J20" i="4" s="1"/>
  <c r="J21" i="4" s="1"/>
  <c r="J22" i="4" l="1"/>
  <c r="J23" i="4"/>
  <c r="J6" i="6" l="1"/>
  <c r="J24" i="4"/>
  <c r="J12" i="9" l="1"/>
  <c r="J14" i="6"/>
  <c r="J33" i="6" s="1"/>
  <c r="J34" i="6" s="1"/>
  <c r="J29" i="5"/>
  <c r="J25" i="4"/>
  <c r="J24" i="6" l="1"/>
  <c r="J28" i="4"/>
  <c r="J26" i="4"/>
  <c r="J26" i="6" l="1"/>
  <c r="J28" i="6" s="1"/>
  <c r="J31" i="6" s="1"/>
  <c r="J27" i="5"/>
  <c r="J28" i="5" s="1"/>
  <c r="J30" i="5" s="1"/>
  <c r="J13" i="9" s="1"/>
  <c r="K30" i="6" l="1"/>
  <c r="K14" i="9" s="1"/>
  <c r="J6" i="5"/>
  <c r="J6" i="9" s="1"/>
  <c r="J31" i="5"/>
  <c r="K17" i="4" l="1"/>
  <c r="K20" i="4" s="1"/>
  <c r="J37" i="5"/>
  <c r="J15" i="5"/>
  <c r="J32" i="5" s="1"/>
  <c r="J5" i="9" s="1"/>
  <c r="K21" i="4" l="1"/>
  <c r="K22" i="4" l="1"/>
  <c r="K23" i="4"/>
  <c r="K6" i="6" l="1"/>
  <c r="K24" i="4"/>
  <c r="K29" i="5" l="1"/>
  <c r="K25" i="4"/>
  <c r="K12" i="9"/>
  <c r="K14" i="6"/>
  <c r="K33" i="6" s="1"/>
  <c r="K34" i="6" s="1"/>
  <c r="K26" i="4"/>
  <c r="K24" i="6" l="1"/>
  <c r="K27" i="5" s="1"/>
  <c r="K28" i="5" s="1"/>
  <c r="K30" i="5" s="1"/>
  <c r="K13" i="9" s="1"/>
  <c r="K28" i="4"/>
  <c r="K26" i="6"/>
  <c r="K28" i="6" s="1"/>
  <c r="K31" i="6" s="1"/>
  <c r="K6" i="5" l="1"/>
  <c r="K6" i="9" s="1"/>
  <c r="L30" i="6"/>
  <c r="L14" i="9" s="1"/>
  <c r="M14" i="9" s="1" a="1"/>
  <c r="K31" i="5"/>
  <c r="L17" i="4" l="1"/>
  <c r="L20" i="4" s="1"/>
  <c r="K37" i="5"/>
  <c r="K15" i="5"/>
  <c r="K32" i="5" s="1"/>
  <c r="K5" i="9" s="1"/>
  <c r="L21" i="4" l="1"/>
  <c r="L22" i="4" l="1"/>
  <c r="L23" i="4"/>
  <c r="L24" i="4" l="1"/>
  <c r="L6" i="6"/>
  <c r="L12" i="9" l="1"/>
  <c r="M12" i="9" s="1" a="1"/>
  <c r="L14" i="6"/>
  <c r="L33" i="6" s="1"/>
  <c r="L34" i="6" s="1"/>
  <c r="L29" i="5"/>
  <c r="L25" i="4"/>
  <c r="L26" i="4" l="1"/>
  <c r="L28" i="4"/>
  <c r="L24" i="6"/>
  <c r="L27" i="5" s="1"/>
  <c r="L28" i="5" s="1"/>
  <c r="L30" i="5" s="1"/>
  <c r="L31" i="5" s="1"/>
  <c r="L13" i="9" l="1"/>
  <c r="M13" i="9" s="1" a="1"/>
  <c r="L26" i="6"/>
  <c r="L28" i="6" s="1"/>
  <c r="L31" i="6" s="1"/>
  <c r="L6" i="9" l="1"/>
  <c r="M6" i="9" s="1" a="1"/>
  <c r="L6" i="5"/>
  <c r="L37" i="5" l="1"/>
  <c r="L15" i="5"/>
  <c r="L32" i="5" s="1"/>
  <c r="L5" i="9" s="1"/>
  <c r="M5" i="9" s="1" a="1"/>
  <c r="C3" i="9" s="1"/>
  <c r="C18" i="9"/>
  <c r="M1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<sst xmlns="http://schemas.openxmlformats.org/spreadsheetml/2006/main" count="522" uniqueCount="390">
  <si>
    <t>Infosys Limited — Reported Consolidated Financials (Ind AS)</t>
  </si>
  <si>
    <t>₹ crore unless stated  |  Fiscal year ends 31 March  |  All figures as reported in audited consolidated results (blue = reported input)</t>
  </si>
  <si>
    <t>Fiscal year</t>
  </si>
  <si>
    <t>FY2022A</t>
  </si>
  <si>
    <t>FY2023A</t>
  </si>
  <si>
    <t>FY2024A</t>
  </si>
  <si>
    <t>FY2025A</t>
  </si>
  <si>
    <t>FY2026A</t>
  </si>
  <si>
    <t>INCOME STATEMENT</t>
  </si>
  <si>
    <t>Revenue from operations</t>
  </si>
  <si>
    <t>Employee benefit expenses</t>
  </si>
  <si>
    <t>Cost of technical sub-contractors</t>
  </si>
  <si>
    <t>Travel expenses</t>
  </si>
  <si>
    <t>Cost of software packages and others</t>
  </si>
  <si>
    <t>Communication expenses</t>
  </si>
  <si>
    <t>Consultancy and professional charges</t>
  </si>
  <si>
    <t>Other expenses</t>
  </si>
  <si>
    <t>Depreciation and amortisation</t>
  </si>
  <si>
    <t>Other income, net</t>
  </si>
  <si>
    <t>Finance cost</t>
  </si>
  <si>
    <t>Exceptional item – impact of Labour Codes</t>
  </si>
  <si>
    <t>Profit before tax (reported)</t>
  </si>
  <si>
    <t>Current tax</t>
  </si>
  <si>
    <t>Deferred tax</t>
  </si>
  <si>
    <t>Profit for the year (reported)</t>
  </si>
  <si>
    <t xml:space="preserve">  Attributable to non-controlling interests</t>
  </si>
  <si>
    <t xml:space="preserve">  Attributable to owners of the Company</t>
  </si>
  <si>
    <t>Diluted EPS (₹)</t>
  </si>
  <si>
    <t>Stock compensation expense (per cash flow statement)</t>
  </si>
  <si>
    <t>BALANCE SHEET (as at 31 March)</t>
  </si>
  <si>
    <t>Non-current assets</t>
  </si>
  <si>
    <t>Property, plant and equipment</t>
  </si>
  <si>
    <t>Right-of-use assets</t>
  </si>
  <si>
    <t>Capital work-in-progress</t>
  </si>
  <si>
    <t>Goodwill</t>
  </si>
  <si>
    <t>Other intangible assets</t>
  </si>
  <si>
    <t>Investments (non-current)</t>
  </si>
  <si>
    <t>Loans (non-current)</t>
  </si>
  <si>
    <t>Other financial assets (non-current)</t>
  </si>
  <si>
    <t>Deferred tax assets (net)</t>
  </si>
  <si>
    <t>Income tax assets (non-current)</t>
  </si>
  <si>
    <t>Other non-current assets</t>
  </si>
  <si>
    <t>Current assets</t>
  </si>
  <si>
    <t>Investments (current)</t>
  </si>
  <si>
    <t>Trade receivables</t>
  </si>
  <si>
    <t>Cash and cash equivalents</t>
  </si>
  <si>
    <t>Loans (current)</t>
  </si>
  <si>
    <t>Other financial assets (current)</t>
  </si>
  <si>
    <t>Income tax assets (current)</t>
  </si>
  <si>
    <t>Other current assets</t>
  </si>
  <si>
    <t>Total assets (reported)</t>
  </si>
  <si>
    <t>Equity</t>
  </si>
  <si>
    <t>Equity share capital</t>
  </si>
  <si>
    <t>Other equity</t>
  </si>
  <si>
    <t>Non-controlling interests</t>
  </si>
  <si>
    <t>Non-current liabilities</t>
  </si>
  <si>
    <t>Lease liabilities (non-current)</t>
  </si>
  <si>
    <t>Other financial liabilities (non-current)</t>
  </si>
  <si>
    <t>Deferred tax liabilities (net)</t>
  </si>
  <si>
    <t>Other non-current liabilities</t>
  </si>
  <si>
    <t>Current liabilities</t>
  </si>
  <si>
    <t>Lease liabilities (current)</t>
  </si>
  <si>
    <t>Trade payables</t>
  </si>
  <si>
    <t>Other financial liabilities (current)</t>
  </si>
  <si>
    <t>Other current liabilities</t>
  </si>
  <si>
    <t>Provisions</t>
  </si>
  <si>
    <t>Income tax liabilities (net)</t>
  </si>
  <si>
    <t>Total equity and liabilities (reported)</t>
  </si>
  <si>
    <t>CASH FLOW STATEMENT (year ended 31 March)</t>
  </si>
  <si>
    <t>Net cash generated by operating activities</t>
  </si>
  <si>
    <t>Expenditure on PP&amp;E and intangibles, net</t>
  </si>
  <si>
    <t>Acquisitions net of cash acquired, incl. contingent consideration</t>
  </si>
  <si>
    <t>Net cash from / (used in) investing activities</t>
  </si>
  <si>
    <t>Payment of lease liabilities</t>
  </si>
  <si>
    <t>Dividends paid (incl. to non-controlling interests)</t>
  </si>
  <si>
    <t>Buyback of equity shares incl. transaction costs and tax</t>
  </si>
  <si>
    <t>Net cash used in financing activities</t>
  </si>
  <si>
    <t>Effect of exchange rate changes on cash</t>
  </si>
  <si>
    <t>Cash and cash equivalents – beginning of year</t>
  </si>
  <si>
    <t>Cash and cash equivalents – end of year</t>
  </si>
  <si>
    <t>Restricted cash (memo)</t>
  </si>
  <si>
    <t>LATEST QUARTER, GUIDANCE &amp; POST-BALANCE-SHEET ITEMS</t>
  </si>
  <si>
    <t>Item</t>
  </si>
  <si>
    <t>Value</t>
  </si>
  <si>
    <t>Revenue from operations – Q1 FY27 (₹ crore)</t>
  </si>
  <si>
    <t>Revenue from operations – Q1 FY26 (₹ crore)</t>
  </si>
  <si>
    <t>Net profit attributable to owners – Q1 FY27 (₹ crore)</t>
  </si>
  <si>
    <t>Diluted EPS – Q1 FY27 (₹)</t>
  </si>
  <si>
    <t>Constant-currency revenue growth YoY – Q1 FY27</t>
  </si>
  <si>
    <t>FY27 guidance: constant-currency revenue growth – low</t>
  </si>
  <si>
    <t>FY27 guidance: constant-currency revenue growth – high</t>
  </si>
  <si>
    <t>FY27 guidance: operating margin – low</t>
  </si>
  <si>
    <t>FY27 guidance: operating margin – high</t>
  </si>
  <si>
    <t>FY26 constant-currency revenue growth</t>
  </si>
  <si>
    <t>Acquisition agreed 25-Mar-26: Optimum Healthcare IT (up to, ₹ crore)</t>
  </si>
  <si>
    <t>Acquisition agreed 25-Mar-26: Stratus Global (up to, ₹ crore)</t>
  </si>
  <si>
    <t>FY26 final dividend per share, paid 25-Jun-2026 (₹)</t>
  </si>
  <si>
    <t>Diluted shares implied – Q1 FY27 (crore)</t>
  </si>
  <si>
    <t>Infosys Limited — Forecast Assumptions</t>
  </si>
  <si>
    <t>₹ crore unless stated  |  Blue = editable input; black = formula; C:G show historical actuals for reference</t>
  </si>
  <si>
    <t>Scenario selector (1 = Bear, 2 = Base, 3 = Bull)</t>
  </si>
  <si>
    <t>Live case drivers (feed the model)</t>
  </si>
  <si>
    <t>FY2027E</t>
  </si>
  <si>
    <t>FY2028E</t>
  </si>
  <si>
    <t>FY2029E</t>
  </si>
  <si>
    <t>FY2030E</t>
  </si>
  <si>
    <t>FY2031E</t>
  </si>
  <si>
    <t>Revenue &amp; operating drivers (scenario-dependent)</t>
  </si>
  <si>
    <t>Constant-currency revenue growth</t>
  </si>
  <si>
    <t>FX translation effect (INR vs basket)</t>
  </si>
  <si>
    <t>Employee benefit expenses % revenue</t>
  </si>
  <si>
    <t>EBIT (operating) margin</t>
  </si>
  <si>
    <t>D&amp;A % revenue</t>
  </si>
  <si>
    <t>Capex % revenue</t>
  </si>
  <si>
    <t>Trade receivable days (DSO)</t>
  </si>
  <si>
    <t>Effective tax rate</t>
  </si>
  <si>
    <t>Revenue growth in INR (reported)</t>
  </si>
  <si>
    <t>Other operating &amp; balance-sheet drivers (all scenarios)</t>
  </si>
  <si>
    <t>Stock compensation % revenue (non-cash, within employee cost)</t>
  </si>
  <si>
    <t>Other current assets % revenue (unbilled, loans, other)</t>
  </si>
  <si>
    <t>Trade payables % revenue</t>
  </si>
  <si>
    <t>Other current liabilities &amp; provisions % revenue</t>
  </si>
  <si>
    <t>Lease liabilities % revenue</t>
  </si>
  <si>
    <t>Lease principal repayment % revenue</t>
  </si>
  <si>
    <t>Yield on opening cash &amp; investments (other income)</t>
  </si>
  <si>
    <t>Finance cost % opening lease liabilities</t>
  </si>
  <si>
    <t>Non-controlling interests share of profit</t>
  </si>
  <si>
    <t>Dividends paid % of net profit to owners</t>
  </si>
  <si>
    <t>Share buybacks (₹ crore)</t>
  </si>
  <si>
    <t>Acquisitions, cash (₹ crore)</t>
  </si>
  <si>
    <t>Diluted shares outstanding (crore)</t>
  </si>
  <si>
    <t>BEAR CASE ASSUMPTIONS</t>
  </si>
  <si>
    <t>Assumption</t>
  </si>
  <si>
    <t>BASE CASE ASSUMPTIONS</t>
  </si>
  <si>
    <t>BULL CASE ASSUMPTIONS</t>
  </si>
  <si>
    <t>Infosys Limited — Consolidated Income Statement</t>
  </si>
  <si>
    <t xml:space="preserve">  Growth %</t>
  </si>
  <si>
    <t xml:space="preserve">  % of revenue</t>
  </si>
  <si>
    <t>Other operating expenses (sub-contractors, travel, software, other)</t>
  </si>
  <si>
    <t>EBITDA</t>
  </si>
  <si>
    <t xml:space="preserve">  EBITDA margin</t>
  </si>
  <si>
    <t>EBIT (operating profit, pre-exceptional)</t>
  </si>
  <si>
    <t xml:space="preserve">  EBIT margin</t>
  </si>
  <si>
    <t>Exceptional item (Labour Codes)</t>
  </si>
  <si>
    <t>Profit before tax</t>
  </si>
  <si>
    <t>Tax expense</t>
  </si>
  <si>
    <t xml:space="preserve">  Effective tax rate</t>
  </si>
  <si>
    <t>Profit for the year</t>
  </si>
  <si>
    <t xml:space="preserve">  Less: non-controlling interests</t>
  </si>
  <si>
    <t>Net profit attributable to owners</t>
  </si>
  <si>
    <t xml:space="preserve">  Net margin</t>
  </si>
  <si>
    <t>Diluted shares (crore)</t>
  </si>
  <si>
    <t>Memo: stock compensation (non-cash, in employee cost)</t>
  </si>
  <si>
    <t>Memo: reported PBT check (model − reported)</t>
  </si>
  <si>
    <t>Infosys Limited — Consolidated Balance Sheet (as at 31 March)</t>
  </si>
  <si>
    <t>ASSETS</t>
  </si>
  <si>
    <t>Current investments</t>
  </si>
  <si>
    <t>Non-current investments</t>
  </si>
  <si>
    <t>Other current assets (unbilled, loans, other financial &amp; other)</t>
  </si>
  <si>
    <t>Income tax assets (current + non-current)</t>
  </si>
  <si>
    <t>PP&amp;E, CWIP, right-of-use &amp; other intangibles</t>
  </si>
  <si>
    <t>Other non-current assets (loans, financial, DTA, other)</t>
  </si>
  <si>
    <t>Total assets</t>
  </si>
  <si>
    <t>LIABILITIES</t>
  </si>
  <si>
    <t>Other current liabilities &amp; provisions</t>
  </si>
  <si>
    <t>Lease liabilities (current + non-current)</t>
  </si>
  <si>
    <t>Other non-current liabilities (financial, DTL, other)</t>
  </si>
  <si>
    <t>Total liabilities</t>
  </si>
  <si>
    <t>EQUITY</t>
  </si>
  <si>
    <t>Equity attributable to owners</t>
  </si>
  <si>
    <t>Total equity</t>
  </si>
  <si>
    <t>Total liabilities and equity</t>
  </si>
  <si>
    <t>Balance check (assets − liabilities − equity)</t>
  </si>
  <si>
    <t>Memo: net working capital (TR + OCA − TP − OCL)</t>
  </si>
  <si>
    <t xml:space="preserve">  NWC % revenue</t>
  </si>
  <si>
    <t>Memo: new lease additions (non-cash ROU)</t>
  </si>
  <si>
    <t>Memo: cash + investments</t>
  </si>
  <si>
    <t>Memo: trade receivable days (DSO)</t>
  </si>
  <si>
    <t>Infosys Limited — Consolidated Cash Flow Statement</t>
  </si>
  <si>
    <t>OPERATING ACTIVITIES</t>
  </si>
  <si>
    <t>Stock compensation (non-cash)</t>
  </si>
  <si>
    <t>(Increase)/decrease in trade receivables</t>
  </si>
  <si>
    <t>(Increase)/decrease in other current assets</t>
  </si>
  <si>
    <t>Increase/(decrease) in trade payables</t>
  </si>
  <si>
    <t>Increase/(decrease) in other current liabilities</t>
  </si>
  <si>
    <t>Change in net working capital</t>
  </si>
  <si>
    <t>Net cash from operating activities</t>
  </si>
  <si>
    <t>INVESTING ACTIVITIES</t>
  </si>
  <si>
    <t>Capital expenditure (PP&amp;E and intangibles)</t>
  </si>
  <si>
    <t>Acquisitions, net of cash acquired</t>
  </si>
  <si>
    <t>Net (purchase)/sale of investments</t>
  </si>
  <si>
    <t>Net cash from investing activities</t>
  </si>
  <si>
    <t>FINANCING ACTIVITIES</t>
  </si>
  <si>
    <t>Payment of lease liabilities (principal)</t>
  </si>
  <si>
    <t>Dividends paid</t>
  </si>
  <si>
    <t>Share buybacks</t>
  </si>
  <si>
    <t>Net cash from financing activities</t>
  </si>
  <si>
    <t>Net change in cash</t>
  </si>
  <si>
    <t>Opening cash and cash equivalents</t>
  </si>
  <si>
    <t>Closing cash and cash equivalents</t>
  </si>
  <si>
    <t>Memo: free cash flow (CFO + capex)</t>
  </si>
  <si>
    <t xml:space="preserve">  FCF % of profit for the year</t>
  </si>
  <si>
    <t>Infosys Limited — Weighted Average Cost of Capital</t>
  </si>
  <si>
    <t>INR-denominated CAPM  |  Blue = input; green = link to another sheet; black = formula</t>
  </si>
  <si>
    <t>COST OF EQUITY</t>
  </si>
  <si>
    <t>Risk-free rate (India 10-year G-sec yield)</t>
  </si>
  <si>
    <t>Equity beta (vs Nifty 50)</t>
  </si>
  <si>
    <t>Equity risk premium (India, INR)</t>
  </si>
  <si>
    <t>Cost of equity (CAPM)</t>
  </si>
  <si>
    <t>COST OF DEBT (lease liabilities — Infosys has no borrowings)</t>
  </si>
  <si>
    <t>Pre-tax cost of lease liabilities</t>
  </si>
  <si>
    <t>Tax rate (FY27E, live case)</t>
  </si>
  <si>
    <t>After-tax cost of debt</t>
  </si>
  <si>
    <t>CAPITAL STRUCTURE (market values, ₹ crore)</t>
  </si>
  <si>
    <t>Current share price (₹)</t>
  </si>
  <si>
    <t>Market capitalisation</t>
  </si>
  <si>
    <t>Debt-like: lease liabilities (31-Mar-2026)</t>
  </si>
  <si>
    <t>Total capital</t>
  </si>
  <si>
    <t>Equity weight</t>
  </si>
  <si>
    <t>Debt weight</t>
  </si>
  <si>
    <t>WACC</t>
  </si>
  <si>
    <t>Weighted average cost of capital</t>
  </si>
  <si>
    <t>Infosys Limited — Discounted Cash Flow Valuation</t>
  </si>
  <si>
    <t>MARKET DATA &amp; VALUATION INPUTS</t>
  </si>
  <si>
    <t>Valuation base date (latest audited balance sheet)</t>
  </si>
  <si>
    <t>Valuation date</t>
  </si>
  <si>
    <t>Current share price, NSE (₹)</t>
  </si>
  <si>
    <t>Terminal growth rate (INR, perpetual)</t>
  </si>
  <si>
    <t>Cost of equity (for roll-forward)</t>
  </si>
  <si>
    <t>UNLEVERED FREE CASH FLOW</t>
  </si>
  <si>
    <t>₹ crore</t>
  </si>
  <si>
    <t>Revenue</t>
  </si>
  <si>
    <t>EBIT</t>
  </si>
  <si>
    <t>Less: tax on EBIT</t>
  </si>
  <si>
    <t>NOPAT</t>
  </si>
  <si>
    <t>Add: depreciation and amortisation</t>
  </si>
  <si>
    <t>Less: capital expenditure</t>
  </si>
  <si>
    <t>Less: new lease additions (ROU, debt-like capex)</t>
  </si>
  <si>
    <t>Less: increase in net working capital</t>
  </si>
  <si>
    <t>Unlevered free cash flow</t>
  </si>
  <si>
    <t xml:space="preserve">  UFCF margin</t>
  </si>
  <si>
    <t>Discount period (years from base date, mid-year)</t>
  </si>
  <si>
    <t>Discount factor</t>
  </si>
  <si>
    <t>PV of unlevered FCF</t>
  </si>
  <si>
    <t>TERMINAL VALUE (perpetuity growth)</t>
  </si>
  <si>
    <t>Final-year unlevered FCF (FY2031E)</t>
  </si>
  <si>
    <t>Terminal-year FCF (× (1 + g))</t>
  </si>
  <si>
    <t>Terminal value at FY2031</t>
  </si>
  <si>
    <t>Discount factor (mid-year, consistent with FY2031E)</t>
  </si>
  <si>
    <t>PV of terminal value</t>
  </si>
  <si>
    <t>Implied terminal EV / FY2031E EBITDA (x)</t>
  </si>
  <si>
    <t>ENTERPRISE VALUE TO EQUITY VALUE BRIDGE</t>
  </si>
  <si>
    <t>Sum of PV of unlevered FCF</t>
  </si>
  <si>
    <t>Enterprise value</t>
  </si>
  <si>
    <t xml:space="preserve">  Terminal value % of EV</t>
  </si>
  <si>
    <t>Add: cash and cash equivalents (31-Mar-2026)</t>
  </si>
  <si>
    <t>Add: current investments</t>
  </si>
  <si>
    <t>Add: non-current investments</t>
  </si>
  <si>
    <t>Less: restricted cash</t>
  </si>
  <si>
    <t>Less: lease liabilities (debt-like)</t>
  </si>
  <si>
    <t>Less: non-controlling interests (book)</t>
  </si>
  <si>
    <t>Less: acquisitions committed after balance-sheet date</t>
  </si>
  <si>
    <t>Equity value (31-Mar-2026)</t>
  </si>
  <si>
    <t>Equity value per share at 31-Mar-2026 (₹)</t>
  </si>
  <si>
    <t>Roll-forward factor to valuation date (cost of equity)</t>
  </si>
  <si>
    <t>Less: dividend per share paid since base date (₹)</t>
  </si>
  <si>
    <t>Implied value per share (₹)</t>
  </si>
  <si>
    <t>Implied upside / (downside)</t>
  </si>
  <si>
    <t>Implied EV / FY2027E EBITDA (x)</t>
  </si>
  <si>
    <t>Implied P/E on FY2027E diluted EPS (x)</t>
  </si>
  <si>
    <t>SENSITIVITY 1 — IMPLIED VALUE PER SHARE (₹): WACC vs TERMINAL GROWTH</t>
  </si>
  <si>
    <t>Axis steps (terminal growth / WACC)</t>
  </si>
  <si>
    <t>WACC ↓  |  g →</t>
  </si>
  <si>
    <t>SENSITIVITY ENGINE (helper rows linked to live assumptions — used by Sensitivity 2)</t>
  </si>
  <si>
    <t>Driver</t>
  </si>
  <si>
    <t>Constant-currency growth</t>
  </si>
  <si>
    <t>FX translation effect</t>
  </si>
  <si>
    <t>EBIT margin</t>
  </si>
  <si>
    <t>Tax rate</t>
  </si>
  <si>
    <t>D&amp;A less capex, % revenue</t>
  </si>
  <si>
    <t>Net working capital % revenue</t>
  </si>
  <si>
    <t>SENSITIVITY 2 — IMPLIED VALUE PER SHARE (₹): CC REVENUE GROWTH vs EBIT MARGIN (shift applied to every forecast year)</t>
  </si>
  <si>
    <t>Axis steps (growth pp / margin pp)</t>
  </si>
  <si>
    <t>Growth Δ ↓  |  Margin Δ →</t>
  </si>
  <si>
    <t>SENSITIVITY 3 — IMPLIED VALUE PER SHARE (₹): BETA vs RISK-FREE RATE</t>
  </si>
  <si>
    <t>Axis steps (beta / risk-free rate)</t>
  </si>
  <si>
    <t>Beta ↓  |  Rf →</t>
  </si>
  <si>
    <t>Check: sensitivity centre cells − implied value per share (should be 0)</t>
  </si>
  <si>
    <t>Infosys Limited — Model Integrity Checks</t>
  </si>
  <si>
    <t>Differences in ₹ crore; each line should be zero (tolerance ±0.5)</t>
  </si>
  <si>
    <t>MASTER CHECK</t>
  </si>
  <si>
    <t>Check</t>
  </si>
  <si>
    <t>Status</t>
  </si>
  <si>
    <t>Balance sheet balances (assets − liabilities − equity)</t>
  </si>
  <si>
    <t>Cash tie-out (CF closing cash − BS cash)</t>
  </si>
  <si>
    <t>Historical: model PBT − reported PBT</t>
  </si>
  <si>
    <t>Historical: model total assets − reported total assets</t>
  </si>
  <si>
    <t>Historical: model total L&amp;E − reported total L&amp;E</t>
  </si>
  <si>
    <t>Historical: rebuilt closing cash − reported closing cash</t>
  </si>
  <si>
    <t>Historical: opening cash = prior-year closing cash</t>
  </si>
  <si>
    <t>Forecast: CF profit = IS profit for the year</t>
  </si>
  <si>
    <t>Forecast: equity roll-forward (opening + profit + SBC − dividends − buybacks − closing)</t>
  </si>
  <si>
    <t>Forecast: opening cash = prior-year closing cash</t>
  </si>
  <si>
    <t>Forecast: DCF revenue = IS revenue</t>
  </si>
  <si>
    <t>Terminal growth below WACC</t>
  </si>
  <si>
    <t>Sensitivity table centres equal implied value per share</t>
  </si>
  <si>
    <t>Forecast fixed-asset and cash balances non-negative</t>
  </si>
  <si>
    <t>Scenario selector valid (1, 2 or 3)</t>
  </si>
  <si>
    <t>Infosys Limited (NSE: INFY) — Three-Statement Model &amp; DCF Valuation</t>
  </si>
  <si>
    <t>₹ crore unless stated  |  Ind AS consolidated  |  Fiscal year ends 31 March  |  Historicals FY2022A–FY2026A, forecast FY2027E–FY2031E</t>
  </si>
  <si>
    <t>KEY OUTPUTS (live — change scenario in Assumptions!D4)</t>
  </si>
  <si>
    <t>Scenario</t>
  </si>
  <si>
    <t>Current share price (₹, 22-Oct-2026 close)</t>
  </si>
  <si>
    <t>Enterprise value (₹ crore)</t>
  </si>
  <si>
    <t>Equity value at 31-Mar-2026 (₹ crore)</t>
  </si>
  <si>
    <t>Terminal growth rate</t>
  </si>
  <si>
    <t>Terminal value % of enterprise value</t>
  </si>
  <si>
    <t>FY2027E revenue (₹ crore)</t>
  </si>
  <si>
    <t>FY2027E EBIT margin</t>
  </si>
  <si>
    <t>FY2027E diluted EPS (₹)</t>
  </si>
  <si>
    <t>Implied P/E on FY2027E EPS (x)</t>
  </si>
  <si>
    <t>Model integrity</t>
  </si>
  <si>
    <t>MODEL MAP</t>
  </si>
  <si>
    <t>Hist</t>
  </si>
  <si>
    <t>Assumptions</t>
  </si>
  <si>
    <t>Scenario selector and Bear / Base / Bull driver blocks; common balance-sheet drivers</t>
  </si>
  <si>
    <t>IS</t>
  </si>
  <si>
    <t>Income statement: historical links + forecast driven by Assumptions</t>
  </si>
  <si>
    <t>BS</t>
  </si>
  <si>
    <t>Balance sheet: working capital, fixed assets, leases, equity roll-forward; cash from CF</t>
  </si>
  <si>
    <t>CF</t>
  </si>
  <si>
    <t>Cash flow statement (indirect); closing cash feeds BS</t>
  </si>
  <si>
    <t>CAPM cost of equity, lease-based cost of debt, market-value weights</t>
  </si>
  <si>
    <t>DCF</t>
  </si>
  <si>
    <t>Unlevered FCF, terminal value, EV-to-equity bridge, three 5×5 sensitivity tables</t>
  </si>
  <si>
    <t>Checks</t>
  </si>
  <si>
    <t>Balance, cash tie-out, reported-figure reconciliation, roll-forward and valuation checks</t>
  </si>
  <si>
    <t>COLOUR CONVENTIONS</t>
  </si>
  <si>
    <t>Blue font — hardcoded input (reported figure or assumption)</t>
  </si>
  <si>
    <t>Black font — formula on the same sheet</t>
  </si>
  <si>
    <t>Green font — link to another sheet</t>
  </si>
  <si>
    <t>Grey fill — editable assumption input</t>
  </si>
  <si>
    <t>METHODOLOGY NOTES</t>
  </si>
  <si>
    <t>• Revenue = prior year × (1 + constant-currency growth) × (1 + FX translation effect), separating operating growth from INR movement.</t>
  </si>
  <si>
    <t>• EBIT margin is the operating-margin input (company definition, before other income); other operating costs are the residual after employee costs and D&amp;A.</t>
  </si>
  <si>
    <t>• UFCF = EBIT × (1 − tax) + D&amp;A − capex − new lease (ROU) additions − increase in NWC. Leases are treated as debt-like; stock compensation is treated as a real cost (not added back).</t>
  </si>
  <si>
    <t>• Discounting from the 31-Mar-2026 balance sheet date using the mid-year convention; equity value is rolled forward to the valuation date at the cost of equity, less the ₹25 dividend paid in June 2026.</t>
  </si>
  <si>
    <t>• EV-to-equity bridge adds cash, current and non-current investments; deducts restricted cash, lease liabilities, NCI and acquisitions committed after the balance-sheet date (Optimum, Stratus).</t>
  </si>
  <si>
    <t>KEY RISKS TO THE VALUATION</t>
  </si>
  <si>
    <t>• AI-led deflation in services pricing and volume (revenue growth and margin — see DCF Sensitivity 2).</t>
  </si>
  <si>
    <t>• Discretionary tech-spend weakness in Financial Services, Manufacturing and Retail; FY27 CC guidance was cut to 1.5–3.0%.</t>
  </si>
  <si>
    <t>• INR/USD movements: translation drives a large part of reported INR growth (Q1 FY27 INR growth 14.0% vs 2.4% CC).</t>
  </si>
  <si>
    <t>• Wage inflation, Labour Code costs and utilisation affecting the 20–22% margin band.</t>
  </si>
  <si>
    <t>• Discount-rate risk: Indian G-sec yields at multi-year highs; value is highly sensitive to WACC and terminal growth (Sensitivities 1 and 3).</t>
  </si>
  <si>
    <t>• Terminal value is ~70%+ of EV; acquisition integration and client concentration also matter.</t>
  </si>
  <si>
    <t>Teal fill — key output</t>
  </si>
  <si>
    <t>Sources &amp; References</t>
  </si>
  <si>
    <t>Used in</t>
  </si>
  <si>
    <t>Source</t>
  </si>
  <si>
    <t>FY2026A &amp; FY2025A IS / BS / CF (Ind AS consolidated)</t>
  </si>
  <si>
    <t>Hist columns F:G</t>
  </si>
  <si>
    <t>Infosys Form 6-K Ex. 99.3, results for year ended 31-Mar-2026 — https://www.sec.gov/Archives/edgar/data/0001067491/000106749126000014/exv99w03.htm</t>
  </si>
  <si>
    <t>FY2024A &amp; FY2023A IS / BS / CF</t>
  </si>
  <si>
    <t>Hist columns D:E</t>
  </si>
  <si>
    <t>Infosys Form 6-K Ex. 99.3, results for year ended 31-Mar-2024 — https://www.sec.gov/Archives/edgar/data/1067491/000106749124000014/exv99w03.htm</t>
  </si>
  <si>
    <t>FY2022A IS / BS / CF</t>
  </si>
  <si>
    <t>Hist column C</t>
  </si>
  <si>
    <t>Infosys Form 6-K Ex. 99.3, results for year ended 31-Mar-2023 (comparative year) — https://www.sec.gov/Archives/edgar/data/1067491/000106749123000025/exv99w03.htm</t>
  </si>
  <si>
    <t>Q1 FY27 revenue, net profit, diluted EPS, CC growth, FY27 guidance</t>
  </si>
  <si>
    <t>Hist rows 83–92</t>
  </si>
  <si>
    <t>Infosys IFRS-INR press release, 23-Jul-2026 — https://www.sec.gov/Archives/edgar/data/0001067491/000106749126000038/exv99w02.htm</t>
  </si>
  <si>
    <t>FY26 CC growth 3.1%, yield on cash 6.7%</t>
  </si>
  <si>
    <t>Hist row 93; Assumptions row 25</t>
  </si>
  <si>
    <t>Infosys Q4 FY26 earnings call transcript — https://www.infosys.com/investors/reports-filings/quarterly-results/2025-2026/q4/documents/transcripts/earningscall.pdf</t>
  </si>
  <si>
    <t>Optimum (~₹4,410 cr) &amp; Stratus (~₹901 cr) acquisitions; FY26 final dividend ₹25</t>
  </si>
  <si>
    <t>Hist rows 94–96; DCF bridge</t>
  </si>
  <si>
    <t>FY2026 results release notes 1(h) and 2 (first link above)</t>
  </si>
  <si>
    <t>Share price ₹1,153.35 (NSE close 22-Oct-2026)</t>
  </si>
  <si>
    <t>DCF!D7</t>
  </si>
  <si>
    <t>Unofficial aggregator — Tickertape https://www.tickertape.in/stocks/infosys-INFY (corroborated by Trendlyne). Refresh from NSE.</t>
  </si>
  <si>
    <t>India 10-year G-sec yield ~7.4%</t>
  </si>
  <si>
    <t>WACC!D5</t>
  </si>
  <si>
    <t>Unofficial — Trading Economics (7.47%, 23-Oct-2026) https://tradingeconomics.com/india/government-bond-yield; Investing.com (7.39%, 19-Oct-2026). Analyst assumption.</t>
  </si>
  <si>
    <t>Beta 0.85, ERP 6.0%, terminal growth 5.0%, all forecast drivers</t>
  </si>
  <si>
    <t>WACC, DCF, Assumptions</t>
  </si>
  <si>
    <t>Analyst assumptions (not sourced data); rationale summarised on Cover.</t>
  </si>
  <si>
    <t>• Share price, risk-free rate, beta and ERP are market inputs or analyst assumptions (see Sources tab); the share price is from an unofficial aggregator and should be refreshed from NSE.</t>
  </si>
  <si>
    <t>Sources</t>
  </si>
  <si>
    <t>Document references for every reported and market input</t>
  </si>
  <si>
    <t>Reported Ind AS consolidated IS, BS, CF (FY22–FY26) + Q1 FY27 data; document references on the Sources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</si>
</sst>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&quot;–&quot;"/>
    <numFmt numFmtId="165" formatCode="0.0%"/>
    <numFmt numFmtId="166" formatCode="0.0%;\(0.0%\);&quot;–&quot;"/>
    <numFmt numFmtId="167" formatCode="0.0"/>
    <numFmt numFmtId="168" formatCode="#,##0.0"/>
    <numFmt numFmtId="169" formatCode="dd\-mmm\-yyyy"/>
    <numFmt numFmtId="170" formatCode="0.0&quot;x&quot;"/>
    <numFmt numFmtId="171" formatCode="0.0000"/>
    <numFmt numFmtId="172" formatCode="#,##0.00;\(#,##0.00\)"/>
    <numFmt numFmtId="173" formatCode="\+0.0%;\-0.0%;0.0%"/>
    <numFmt numFmtId="174" formatCode="#,##0.0;\(#,##0.0\);&quot;–&quot;"/>
    <numFmt numFmtId="175" formatCode="[Red][&lt;&gt;0]#,##0.0;[Red][&lt;&gt;0]\(#,##0.0\);&quot;–&quot;"/>
    <numFmt numFmtId="176" formatCode="0.0%;\(0.0%\)"/>
  </numFmts>
  <fonts count="1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i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0"/>
      <color rgb="FF000000"/>
      <name val="Arial"/>
      <family val="2"/>
    </font>
    <font>
      <i/>
      <sz val="10"/>
      <color rgb="FF008000"/>
      <name val="Arial"/>
      <family val="2"/>
    </font>
    <font>
      <i/>
      <sz val="10"/>
      <color rgb="FF000000"/>
      <name val="Arial"/>
      <family val="2"/>
    </font>
    <font>
      <b/>
      <sz val="12"/>
      <color rgb="FF008000"/>
      <name val="Arial"/>
      <family val="2"/>
    </font>
    <font>
      <b/>
      <sz val="16"/>
      <color rgb="FF115E6E"/>
      <name val="Arial"/>
      <family val="2"/>
    </font>
    <font>
      <i/>
      <sz val="10"/>
      <color rgb="FF616363"/>
      <name val="Arial"/>
      <family val="2"/>
    </font>
    <font>
      <b/>
      <sz val="14"/>
      <color rgb="FF115E6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15E6E"/>
        <bgColor indexed="64"/>
      </patternFill>
    </fill>
    <fill>
      <patternFill patternType="solid">
        <fgColor rgb="FFB2E4E2"/>
        <bgColor indexed="64"/>
      </patternFill>
    </fill>
    <fill>
      <patternFill patternType="solid">
        <fgColor rgb="FFDDF0EF"/>
        <bgColor indexed="64"/>
      </patternFill>
    </fill>
    <fill>
      <patternFill patternType="solid">
        <fgColor rgb="FF0F5E6E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medium">
        <color rgb="FF115E6E"/>
      </left>
      <right/>
      <top/>
      <bottom/>
      <diagonal/>
    </border>
    <border>
      <left style="medium">
        <color rgb="FF115E6E"/>
      </left>
      <right/>
      <top style="thin">
        <color rgb="FF7F7F7F"/>
      </top>
      <bottom/>
      <diagonal/>
    </border>
    <border>
      <left/>
      <right/>
      <top style="medium">
        <color rgb="FF115E6E"/>
      </top>
      <bottom/>
      <diagonal/>
    </border>
    <border>
      <left/>
      <right/>
      <top/>
      <bottom style="medium">
        <color rgb="FF115E6E"/>
      </bottom>
      <diagonal/>
    </border>
    <border>
      <left style="medium">
        <color rgb="FF115E6E"/>
      </left>
      <right/>
      <top style="medium">
        <color rgb="FF115E6E"/>
      </top>
      <bottom/>
      <diagonal/>
    </border>
    <border>
      <left style="medium">
        <color rgb="FF115E6E"/>
      </left>
      <right/>
      <top/>
      <bottom style="medium">
        <color rgb="FF115E6E"/>
      </bottom>
      <diagonal/>
    </border>
    <border>
      <left/>
      <right style="medium">
        <color rgb="FF115E6E"/>
      </right>
      <top style="medium">
        <color rgb="FF115E6E"/>
      </top>
      <bottom/>
      <diagonal/>
    </border>
    <border>
      <left/>
      <right style="medium">
        <color rgb="FF115E6E"/>
      </right>
      <top/>
      <bottom/>
      <diagonal/>
    </border>
    <border>
      <left/>
      <right style="medium">
        <color rgb="FF115E6E"/>
      </right>
      <top/>
      <bottom style="medium">
        <color rgb="FF115E6E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NumberFormat="1" applyFont="1"/>
    <xf numFmtId="4" fontId="1" fillId="0" borderId="0" xfId="0" applyNumberFormat="1" applyFont="1"/>
    <xf numFmtId="164" fontId="6" fillId="0" borderId="0" xfId="0" applyNumberFormat="1" applyFont="1"/>
    <xf numFmtId="4" fontId="6" fillId="0" borderId="0" xfId="0" applyNumberFormat="1" applyFont="1"/>
    <xf numFmtId="4" fontId="8" fillId="0" borderId="0" xfId="0" applyNumberFormat="1" applyFont="1"/>
    <xf numFmtId="165" fontId="6" fillId="0" borderId="0" xfId="0" applyNumberFormat="1" applyFont="1"/>
    <xf numFmtId="164" fontId="7" fillId="0" borderId="0" xfId="0" applyNumberFormat="1" applyFont="1"/>
    <xf numFmtId="0" fontId="3" fillId="0" borderId="1" xfId="0" applyFont="1" applyBorder="1"/>
    <xf numFmtId="164" fontId="7" fillId="0" borderId="1" xfId="0" applyNumberFormat="1" applyFont="1" applyBorder="1"/>
    <xf numFmtId="166" fontId="1" fillId="0" borderId="0" xfId="0" applyNumberFormat="1" applyFont="1"/>
    <xf numFmtId="167" fontId="1" fillId="0" borderId="0" xfId="0" applyNumberFormat="1" applyFont="1"/>
    <xf numFmtId="166" fontId="3" fillId="0" borderId="0" xfId="0" applyNumberFormat="1" applyFont="1"/>
    <xf numFmtId="166" fontId="9" fillId="0" borderId="0" xfId="0" applyNumberFormat="1" applyFont="1"/>
    <xf numFmtId="166" fontId="8" fillId="0" borderId="0" xfId="0" applyNumberFormat="1" applyFont="1"/>
    <xf numFmtId="166" fontId="10" fillId="0" borderId="0" xfId="0" applyNumberFormat="1" applyFont="1"/>
    <xf numFmtId="166" fontId="11" fillId="0" borderId="0" xfId="0" applyNumberFormat="1" applyFont="1"/>
    <xf numFmtId="167" fontId="9" fillId="0" borderId="0" xfId="0" applyNumberFormat="1" applyFont="1"/>
    <xf numFmtId="167" fontId="8" fillId="0" borderId="0" xfId="0" applyNumberFormat="1" applyFont="1"/>
    <xf numFmtId="166" fontId="6" fillId="2" borderId="0" xfId="0" applyNumberFormat="1" applyFont="1" applyFill="1"/>
    <xf numFmtId="164" fontId="9" fillId="0" borderId="0" xfId="0" applyNumberFormat="1" applyFont="1"/>
    <xf numFmtId="164" fontId="6" fillId="2" borderId="0" xfId="0" applyNumberFormat="1" applyFont="1" applyFill="1"/>
    <xf numFmtId="4" fontId="9" fillId="0" borderId="0" xfId="0" applyNumberFormat="1" applyFont="1"/>
    <xf numFmtId="167" fontId="6" fillId="2" borderId="0" xfId="0" applyNumberFormat="1" applyFont="1" applyFill="1"/>
    <xf numFmtId="168" fontId="1" fillId="0" borderId="0" xfId="0" applyNumberFormat="1" applyFont="1"/>
    <xf numFmtId="164" fontId="3" fillId="0" borderId="0" xfId="0" applyNumberFormat="1" applyFont="1"/>
    <xf numFmtId="164" fontId="3" fillId="0" borderId="2" xfId="0" applyNumberFormat="1" applyFont="1" applyBorder="1"/>
    <xf numFmtId="164" fontId="10" fillId="0" borderId="0" xfId="0" applyNumberFormat="1" applyFont="1"/>
    <xf numFmtId="164" fontId="11" fillId="0" borderId="2" xfId="0" applyNumberFormat="1" applyFont="1" applyBorder="1"/>
    <xf numFmtId="168" fontId="9" fillId="0" borderId="0" xfId="0" applyNumberFormat="1" applyFont="1"/>
    <xf numFmtId="164" fontId="8" fillId="0" borderId="0" xfId="0" applyNumberFormat="1" applyFont="1"/>
    <xf numFmtId="164" fontId="11" fillId="0" borderId="0" xfId="0" applyNumberFormat="1" applyFont="1"/>
    <xf numFmtId="164" fontId="1" fillId="0" borderId="2" xfId="0" applyNumberFormat="1" applyFont="1" applyBorder="1"/>
    <xf numFmtId="164" fontId="8" fillId="0" borderId="2" xfId="0" applyNumberFormat="1" applyFont="1" applyBorder="1"/>
    <xf numFmtId="164" fontId="10" fillId="0" borderId="2" xfId="0" applyNumberFormat="1" applyFont="1" applyBorder="1"/>
    <xf numFmtId="4" fontId="6" fillId="2" borderId="0" xfId="0" applyNumberFormat="1" applyFont="1" applyFill="1"/>
    <xf numFmtId="169" fontId="8" fillId="0" borderId="0" xfId="0" applyNumberFormat="1" applyFont="1"/>
    <xf numFmtId="165" fontId="9" fillId="0" borderId="0" xfId="0" applyNumberFormat="1" applyFont="1"/>
    <xf numFmtId="165" fontId="6" fillId="2" borderId="0" xfId="0" applyNumberFormat="1" applyFont="1" applyFill="1"/>
    <xf numFmtId="165" fontId="8" fillId="0" borderId="0" xfId="0" applyNumberFormat="1" applyFont="1"/>
    <xf numFmtId="170" fontId="9" fillId="0" borderId="0" xfId="0" applyNumberFormat="1" applyFont="1"/>
    <xf numFmtId="168" fontId="8" fillId="0" borderId="0" xfId="0" applyNumberFormat="1" applyFont="1"/>
    <xf numFmtId="171" fontId="8" fillId="0" borderId="0" xfId="0" applyNumberFormat="1" applyFont="1"/>
    <xf numFmtId="172" fontId="9" fillId="0" borderId="0" xfId="0" applyNumberFormat="1" applyFont="1"/>
    <xf numFmtId="2" fontId="8" fillId="0" borderId="0" xfId="0" applyNumberFormat="1" applyFont="1"/>
    <xf numFmtId="2" fontId="6" fillId="2" borderId="0" xfId="0" applyNumberFormat="1" applyFont="1" applyFill="1"/>
    <xf numFmtId="3" fontId="8" fillId="0" borderId="0" xfId="0" applyNumberFormat="1" applyFont="1" applyBorder="1"/>
    <xf numFmtId="3" fontId="9" fillId="0" borderId="0" xfId="0" applyNumberFormat="1" applyFont="1"/>
    <xf numFmtId="3" fontId="9" fillId="0" borderId="0" xfId="0" applyNumberFormat="1" applyFont="1" applyBorder="1"/>
    <xf numFmtId="164" fontId="1" fillId="0" borderId="0" xfId="0" applyNumberFormat="1" applyFont="1" applyAlignment="1">
      <alignment horizontal="right"/>
    </xf>
    <xf numFmtId="164" fontId="12" fillId="0" borderId="0" xfId="0" applyNumberFormat="1" applyFont="1"/>
    <xf numFmtId="165" fontId="13" fillId="0" borderId="0" xfId="0" applyNumberFormat="1" applyFont="1"/>
    <xf numFmtId="164" fontId="2" fillId="0" borderId="0" xfId="0" applyNumberFormat="1" applyFont="1"/>
    <xf numFmtId="164" fontId="5" fillId="0" borderId="2" xfId="0" applyNumberFormat="1" applyFont="1" applyBorder="1"/>
    <xf numFmtId="165" fontId="2" fillId="0" borderId="0" xfId="0" applyNumberFormat="1" applyFont="1"/>
    <xf numFmtId="3" fontId="11" fillId="0" borderId="0" xfId="0" applyNumberFormat="1" applyFont="1"/>
    <xf numFmtId="164" fontId="11" fillId="0" borderId="0" xfId="0" applyNumberFormat="1" applyFont="1" applyAlignment="1">
      <alignment horizontal="center"/>
    </xf>
    <xf numFmtId="174" fontId="9" fillId="0" borderId="0" xfId="0" applyNumberFormat="1" applyFont="1"/>
    <xf numFmtId="174" fontId="1" fillId="0" borderId="0" xfId="0" applyNumberFormat="1" applyFont="1"/>
    <xf numFmtId="0" fontId="14" fillId="0" borderId="0" xfId="0" applyFont="1"/>
    <xf numFmtId="175" fontId="8" fillId="0" borderId="0" xfId="0" applyNumberFormat="1" applyFont="1"/>
    <xf numFmtId="0" fontId="9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6" fillId="2" borderId="0" xfId="0" applyNumberFormat="1" applyFont="1" applyFill="1" applyAlignment="1">
      <alignment horizontal="right"/>
    </xf>
    <xf numFmtId="0" fontId="15" fillId="0" borderId="0" xfId="0" applyFont="1"/>
    <xf numFmtId="0" fontId="16" fillId="0" borderId="0" xfId="0" applyFont="1"/>
    <xf numFmtId="0" fontId="4" fillId="3" borderId="0" xfId="0" applyFont="1" applyFill="1"/>
    <xf numFmtId="4" fontId="10" fillId="4" borderId="0" xfId="0" applyNumberFormat="1" applyFont="1" applyFill="1" applyAlignment="1">
      <alignment horizontal="right"/>
    </xf>
    <xf numFmtId="176" fontId="10" fillId="4" borderId="0" xfId="0" applyNumberFormat="1" applyFont="1" applyFill="1" applyAlignment="1">
      <alignment horizontal="right"/>
    </xf>
    <xf numFmtId="3" fontId="8" fillId="4" borderId="0" xfId="0" applyNumberFormat="1" applyFont="1" applyFill="1" applyAlignment="1">
      <alignment horizontal="right"/>
    </xf>
    <xf numFmtId="0" fontId="17" fillId="0" borderId="0" xfId="0" applyFont="1"/>
    <xf numFmtId="0" fontId="3" fillId="5" borderId="0" xfId="0" applyFont="1" applyFill="1"/>
    <xf numFmtId="0" fontId="3" fillId="5" borderId="0" xfId="0" applyFont="1" applyFill="1" applyAlignment="1">
      <alignment horizontal="right"/>
    </xf>
    <xf numFmtId="164" fontId="7" fillId="3" borderId="0" xfId="0" applyNumberFormat="1" applyFont="1" applyFill="1"/>
    <xf numFmtId="0" fontId="7" fillId="4" borderId="0" xfId="0" applyFont="1" applyFill="1" applyAlignment="1">
      <alignment horizontal="center"/>
    </xf>
    <xf numFmtId="164" fontId="4" fillId="3" borderId="0" xfId="0" applyNumberFormat="1" applyFont="1" applyFill="1"/>
    <xf numFmtId="164" fontId="3" fillId="5" borderId="0" xfId="0" applyNumberFormat="1" applyFont="1" applyFill="1"/>
    <xf numFmtId="164" fontId="3" fillId="5" borderId="0" xfId="0" applyNumberFormat="1" applyFont="1" applyFill="1" applyAlignment="1">
      <alignment horizontal="right"/>
    </xf>
    <xf numFmtId="166" fontId="11" fillId="4" borderId="0" xfId="0" applyNumberFormat="1" applyFont="1" applyFill="1"/>
    <xf numFmtId="0" fontId="3" fillId="5" borderId="0" xfId="0" applyFont="1" applyFill="1" applyAlignment="1">
      <alignment horizontal="left"/>
    </xf>
    <xf numFmtId="164" fontId="5" fillId="5" borderId="0" xfId="0" applyNumberFormat="1" applyFont="1" applyFill="1" applyAlignment="1">
      <alignment horizontal="right"/>
    </xf>
    <xf numFmtId="164" fontId="11" fillId="4" borderId="2" xfId="0" applyNumberFormat="1" applyFont="1" applyFill="1" applyBorder="1"/>
    <xf numFmtId="4" fontId="11" fillId="4" borderId="2" xfId="0" applyNumberFormat="1" applyFont="1" applyFill="1" applyBorder="1"/>
    <xf numFmtId="165" fontId="11" fillId="4" borderId="0" xfId="0" applyNumberFormat="1" applyFont="1" applyFill="1"/>
    <xf numFmtId="3" fontId="11" fillId="4" borderId="0" xfId="0" applyNumberFormat="1" applyFont="1" applyFill="1" applyBorder="1"/>
    <xf numFmtId="164" fontId="4" fillId="3" borderId="0" xfId="0" applyNumberFormat="1" applyFont="1" applyFill="1" applyAlignment="1">
      <alignment horizontal="right"/>
    </xf>
    <xf numFmtId="3" fontId="10" fillId="4" borderId="0" xfId="0" applyNumberFormat="1" applyFont="1" applyFill="1" applyBorder="1"/>
    <xf numFmtId="0" fontId="1" fillId="0" borderId="3" xfId="0" applyFont="1" applyBorder="1"/>
    <xf numFmtId="164" fontId="1" fillId="0" borderId="3" xfId="0" applyNumberFormat="1" applyFont="1" applyBorder="1"/>
    <xf numFmtId="164" fontId="4" fillId="3" borderId="3" xfId="0" applyNumberFormat="1" applyFont="1" applyFill="1" applyBorder="1"/>
    <xf numFmtId="166" fontId="8" fillId="0" borderId="3" xfId="0" applyNumberFormat="1" applyFont="1" applyBorder="1"/>
    <xf numFmtId="166" fontId="11" fillId="0" borderId="3" xfId="0" applyNumberFormat="1" applyFont="1" applyBorder="1"/>
    <xf numFmtId="167" fontId="8" fillId="0" borderId="3" xfId="0" applyNumberFormat="1" applyFont="1" applyBorder="1"/>
    <xf numFmtId="166" fontId="6" fillId="2" borderId="3" xfId="0" applyNumberFormat="1" applyFont="1" applyFill="1" applyBorder="1"/>
    <xf numFmtId="164" fontId="6" fillId="2" borderId="3" xfId="0" applyNumberFormat="1" applyFont="1" applyFill="1" applyBorder="1"/>
    <xf numFmtId="164" fontId="9" fillId="0" borderId="3" xfId="0" applyNumberFormat="1" applyFont="1" applyBorder="1"/>
    <xf numFmtId="4" fontId="9" fillId="0" borderId="3" xfId="0" applyNumberFormat="1" applyFont="1" applyBorder="1"/>
    <xf numFmtId="164" fontId="3" fillId="5" borderId="3" xfId="0" applyNumberFormat="1" applyFont="1" applyFill="1" applyBorder="1" applyAlignment="1">
      <alignment horizontal="right"/>
    </xf>
    <xf numFmtId="167" fontId="6" fillId="2" borderId="3" xfId="0" applyNumberFormat="1" applyFont="1" applyFill="1" applyBorder="1"/>
    <xf numFmtId="0" fontId="3" fillId="5" borderId="3" xfId="0" applyFont="1" applyFill="1" applyBorder="1" applyAlignment="1">
      <alignment horizontal="right"/>
    </xf>
    <xf numFmtId="164" fontId="10" fillId="0" borderId="3" xfId="0" applyNumberFormat="1" applyFont="1" applyBorder="1"/>
    <xf numFmtId="164" fontId="11" fillId="0" borderId="4" xfId="0" applyNumberFormat="1" applyFont="1" applyBorder="1"/>
    <xf numFmtId="164" fontId="6" fillId="0" borderId="3" xfId="0" applyNumberFormat="1" applyFont="1" applyBorder="1"/>
    <xf numFmtId="168" fontId="9" fillId="0" borderId="3" xfId="0" applyNumberFormat="1" applyFont="1" applyBorder="1"/>
    <xf numFmtId="4" fontId="8" fillId="0" borderId="3" xfId="0" applyNumberFormat="1" applyFont="1" applyBorder="1"/>
    <xf numFmtId="164" fontId="8" fillId="0" borderId="3" xfId="0" applyNumberFormat="1" applyFont="1" applyBorder="1"/>
    <xf numFmtId="164" fontId="11" fillId="0" borderId="3" xfId="0" applyNumberFormat="1" applyFont="1" applyBorder="1"/>
    <xf numFmtId="175" fontId="8" fillId="0" borderId="3" xfId="0" applyNumberFormat="1" applyFont="1" applyBorder="1"/>
    <xf numFmtId="166" fontId="9" fillId="0" borderId="3" xfId="0" applyNumberFormat="1" applyFont="1" applyBorder="1"/>
    <xf numFmtId="167" fontId="9" fillId="0" borderId="3" xfId="0" applyNumberFormat="1" applyFont="1" applyBorder="1"/>
    <xf numFmtId="164" fontId="8" fillId="0" borderId="4" xfId="0" applyNumberFormat="1" applyFont="1" applyBorder="1"/>
    <xf numFmtId="174" fontId="9" fillId="0" borderId="3" xfId="0" applyNumberFormat="1" applyFont="1" applyBorder="1"/>
    <xf numFmtId="174" fontId="1" fillId="0" borderId="3" xfId="0" applyNumberFormat="1" applyFont="1" applyBorder="1"/>
    <xf numFmtId="165" fontId="11" fillId="5" borderId="5" xfId="0" applyNumberFormat="1" applyFont="1" applyFill="1" applyBorder="1" applyAlignment="1">
      <alignment horizontal="right"/>
    </xf>
    <xf numFmtId="3" fontId="8" fillId="0" borderId="6" xfId="0" applyNumberFormat="1" applyFont="1" applyBorder="1"/>
    <xf numFmtId="164" fontId="3" fillId="5" borderId="7" xfId="0" applyNumberFormat="1" applyFont="1" applyFill="1" applyBorder="1" applyAlignment="1">
      <alignment horizontal="right"/>
    </xf>
    <xf numFmtId="165" fontId="11" fillId="5" borderId="3" xfId="0" applyNumberFormat="1" applyFont="1" applyFill="1" applyBorder="1" applyAlignment="1">
      <alignment horizontal="right"/>
    </xf>
    <xf numFmtId="165" fontId="11" fillId="5" borderId="8" xfId="0" applyNumberFormat="1" applyFont="1" applyFill="1" applyBorder="1" applyAlignment="1">
      <alignment horizontal="right"/>
    </xf>
    <xf numFmtId="165" fontId="11" fillId="5" borderId="9" xfId="0" applyNumberFormat="1" applyFont="1" applyFill="1" applyBorder="1" applyAlignment="1">
      <alignment horizontal="right"/>
    </xf>
    <xf numFmtId="3" fontId="8" fillId="0" borderId="10" xfId="0" applyNumberFormat="1" applyFont="1" applyBorder="1"/>
    <xf numFmtId="3" fontId="8" fillId="0" borderId="11" xfId="0" applyNumberFormat="1" applyFont="1" applyBorder="1"/>
    <xf numFmtId="173" fontId="11" fillId="5" borderId="5" xfId="0" applyNumberFormat="1" applyFont="1" applyFill="1" applyBorder="1" applyAlignment="1">
      <alignment horizontal="right"/>
    </xf>
    <xf numFmtId="3" fontId="9" fillId="0" borderId="6" xfId="0" applyNumberFormat="1" applyFont="1" applyBorder="1"/>
    <xf numFmtId="173" fontId="11" fillId="5" borderId="3" xfId="0" applyNumberFormat="1" applyFont="1" applyFill="1" applyBorder="1" applyAlignment="1">
      <alignment horizontal="right"/>
    </xf>
    <xf numFmtId="173" fontId="11" fillId="5" borderId="8" xfId="0" applyNumberFormat="1" applyFont="1" applyFill="1" applyBorder="1" applyAlignment="1">
      <alignment horizontal="right"/>
    </xf>
    <xf numFmtId="173" fontId="11" fillId="5" borderId="9" xfId="0" applyNumberFormat="1" applyFont="1" applyFill="1" applyBorder="1" applyAlignment="1">
      <alignment horizontal="right"/>
    </xf>
    <xf numFmtId="3" fontId="9" fillId="0" borderId="10" xfId="0" applyNumberFormat="1" applyFont="1" applyBorder="1"/>
    <xf numFmtId="3" fontId="9" fillId="0" borderId="11" xfId="0" applyNumberFormat="1" applyFont="1" applyBorder="1"/>
    <xf numFmtId="165" fontId="10" fillId="5" borderId="5" xfId="0" applyNumberFormat="1" applyFont="1" applyFill="1" applyBorder="1" applyAlignment="1">
      <alignment horizontal="right"/>
    </xf>
    <xf numFmtId="2" fontId="10" fillId="5" borderId="3" xfId="0" applyNumberFormat="1" applyFont="1" applyFill="1" applyBorder="1" applyAlignment="1">
      <alignment horizontal="right"/>
    </xf>
    <xf numFmtId="2" fontId="10" fillId="5" borderId="8" xfId="0" applyNumberFormat="1" applyFont="1" applyFill="1" applyBorder="1" applyAlignment="1">
      <alignment horizontal="right"/>
    </xf>
    <xf numFmtId="165" fontId="10" fillId="5" borderId="9" xfId="0" applyNumberFormat="1" applyFont="1" applyFill="1" applyBorder="1" applyAlignment="1">
      <alignment horizontal="right"/>
    </xf>
    <xf numFmtId="0" fontId="1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0" fillId="6" borderId="0" xfId="0" applyFill="1"/>
    <xf numFmtId="0" fontId="4" fillId="0" borderId="0" xfId="0" applyFont="1" applyFill="1"/>
    <xf numFmtId="164" fontId="4" fillId="0" borderId="0" xfId="0" applyNumberFormat="1" applyFont="1" applyFill="1"/>
  </cellXfs>
  <cellStyles count="1">
    <cellStyle name="Normal" xfId="0" builtinId="0"/>
  </cellStyles>
  <dxfs count="3">
    <dxf>
      <font>
        <color rgb="FFC00000"/>
      </font>
    </dxf>
    <dxf>
      <font>
        <color rgb="FF008000"/>
      </font>
    </dxf>
    <dxf>
      <font>
        <color rgb="FFC00000"/>
      </font>
    </dxf>
  </dxfs>
  <tableStyles count="0" defaultTableStyle="TableStyleMedium2" defaultPivotStyle="PivotStyleLight16"/>
  <colors>
    <mruColors>
      <color rgb="FF0F5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590F95-F453-DF4A-8EAD-0F26AC2BE1C3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4858a55e-9c7c-4aba-bced-6cb920e5f4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2289-EF65-F143-9458-90E456DBD8F0}">
  <sheetPr>
    <tabColor rgb="FF115E6E"/>
  </sheetPr>
  <dimension ref="A1:K52"/>
  <sheetViews>
    <sheetView showGridLines="0" workbookViewId="0">
      <selection activeCell="F30" sqref="F30"/>
    </sheetView>
  </sheetViews>
  <sheetFormatPr baseColWidth="10" defaultRowHeight="16" x14ac:dyDescent="0.2"/>
  <cols>
    <col min="1" max="1" width="48.33203125" customWidth="1"/>
    <col min="2" max="2" width="1.6640625" customWidth="1"/>
    <col min="3" max="3" width="18.33203125" customWidth="1"/>
    <col min="4" max="8" width="11.6640625" customWidth="1"/>
  </cols>
  <sheetData>
    <row r="1" spans="1:8" ht="20" x14ac:dyDescent="0.2">
      <c r="A1" s="73" t="s">
        <v>308</v>
      </c>
      <c r="B1" s="1"/>
      <c r="C1" s="1"/>
      <c r="D1" s="1"/>
      <c r="E1" s="1"/>
      <c r="F1" s="1"/>
      <c r="G1" s="1"/>
      <c r="H1" s="1"/>
    </row>
    <row r="2" spans="1:8" x14ac:dyDescent="0.2">
      <c r="A2" s="74" t="s">
        <v>309</v>
      </c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75" t="s">
        <v>310</v>
      </c>
      <c r="B4" s="75"/>
      <c r="C4" s="75"/>
      <c r="D4" s="145"/>
      <c r="E4" s="145"/>
      <c r="F4" s="145"/>
      <c r="G4" s="145"/>
      <c r="H4" s="145"/>
    </row>
    <row r="5" spans="1:8" x14ac:dyDescent="0.2">
      <c r="A5" s="1" t="s">
        <v>311</v>
      </c>
      <c r="B5" s="1"/>
      <c r="C5" s="65" t="str">
        <f>Assumptions!E4</f>
        <v>Base case</v>
      </c>
      <c r="D5" s="1"/>
      <c r="E5" s="1"/>
      <c r="F5" s="1"/>
      <c r="G5" s="1"/>
      <c r="H5" s="1"/>
    </row>
    <row r="6" spans="1:8" x14ac:dyDescent="0.2">
      <c r="A6" s="3" t="s">
        <v>266</v>
      </c>
      <c r="B6" s="3"/>
      <c r="C6" s="76">
        <f>DCF!D56</f>
        <v>1182.5927609557546</v>
      </c>
      <c r="D6" s="1"/>
      <c r="E6" s="1"/>
      <c r="F6" s="1"/>
      <c r="G6" s="1"/>
      <c r="H6" s="1"/>
    </row>
    <row r="7" spans="1:8" x14ac:dyDescent="0.2">
      <c r="A7" s="1" t="s">
        <v>312</v>
      </c>
      <c r="B7" s="1"/>
      <c r="C7" s="66">
        <f>DCF!D7</f>
        <v>1153.3499999999999</v>
      </c>
      <c r="D7" s="1"/>
      <c r="E7" s="1"/>
      <c r="F7" s="1"/>
      <c r="G7" s="1"/>
      <c r="H7" s="1"/>
    </row>
    <row r="8" spans="1:8" x14ac:dyDescent="0.2">
      <c r="A8" s="3" t="s">
        <v>267</v>
      </c>
      <c r="B8" s="3"/>
      <c r="C8" s="77">
        <f>DCF!D58</f>
        <v>2.5354628651974354E-2</v>
      </c>
      <c r="D8" s="1"/>
      <c r="E8" s="1"/>
      <c r="F8" s="1"/>
      <c r="G8" s="1"/>
      <c r="H8" s="1"/>
    </row>
    <row r="9" spans="1:8" x14ac:dyDescent="0.2">
      <c r="A9" s="1" t="s">
        <v>313</v>
      </c>
      <c r="B9" s="1"/>
      <c r="C9" s="67">
        <f>DCF!D42</f>
        <v>429197.4860907243</v>
      </c>
      <c r="D9" s="1"/>
      <c r="E9" s="1"/>
      <c r="F9" s="1"/>
      <c r="G9" s="1"/>
      <c r="H9" s="1"/>
    </row>
    <row r="10" spans="1:8" x14ac:dyDescent="0.2">
      <c r="A10" s="1" t="s">
        <v>314</v>
      </c>
      <c r="B10" s="1"/>
      <c r="C10" s="67">
        <f>DCF!D51</f>
        <v>457924.4860907243</v>
      </c>
      <c r="D10" s="1"/>
      <c r="E10" s="1"/>
      <c r="F10" s="1"/>
      <c r="G10" s="1"/>
      <c r="H10" s="1"/>
    </row>
    <row r="11" spans="1:8" x14ac:dyDescent="0.2">
      <c r="A11" s="1" t="s">
        <v>220</v>
      </c>
      <c r="B11" s="1"/>
      <c r="C11" s="68">
        <f>DCF!D9</f>
        <v>0.12329126594408352</v>
      </c>
      <c r="D11" s="1"/>
      <c r="E11" s="1"/>
      <c r="F11" s="1"/>
      <c r="G11" s="1"/>
      <c r="H11" s="1"/>
    </row>
    <row r="12" spans="1:8" x14ac:dyDescent="0.2">
      <c r="A12" s="1" t="s">
        <v>315</v>
      </c>
      <c r="B12" s="1"/>
      <c r="C12" s="68">
        <f>DCF!D10</f>
        <v>0.05</v>
      </c>
      <c r="D12" s="1"/>
      <c r="E12" s="1"/>
      <c r="F12" s="1"/>
      <c r="G12" s="1"/>
      <c r="H12" s="1"/>
    </row>
    <row r="13" spans="1:8" x14ac:dyDescent="0.2">
      <c r="A13" s="1" t="s">
        <v>316</v>
      </c>
      <c r="B13" s="1"/>
      <c r="C13" s="68">
        <f>DCF!D43</f>
        <v>0.72918809496837345</v>
      </c>
      <c r="D13" s="1"/>
      <c r="E13" s="1"/>
      <c r="F13" s="1"/>
      <c r="G13" s="1"/>
      <c r="H13" s="1"/>
    </row>
    <row r="14" spans="1:8" x14ac:dyDescent="0.2">
      <c r="A14" s="1" t="s">
        <v>317</v>
      </c>
      <c r="B14" s="1"/>
      <c r="C14" s="67">
        <f>IS!H6</f>
        <v>195934.38749999998</v>
      </c>
      <c r="D14" s="1"/>
      <c r="E14" s="1"/>
      <c r="F14" s="1"/>
      <c r="G14" s="1"/>
      <c r="H14" s="1"/>
    </row>
    <row r="15" spans="1:8" x14ac:dyDescent="0.2">
      <c r="A15" s="1" t="s">
        <v>318</v>
      </c>
      <c r="B15" s="1"/>
      <c r="C15" s="68">
        <f>IS!H16</f>
        <v>0.20999999999999994</v>
      </c>
      <c r="D15" s="1"/>
      <c r="E15" s="1"/>
      <c r="F15" s="1"/>
      <c r="G15" s="1"/>
      <c r="H15" s="1"/>
    </row>
    <row r="16" spans="1:8" x14ac:dyDescent="0.2">
      <c r="A16" s="1" t="s">
        <v>319</v>
      </c>
      <c r="B16" s="1"/>
      <c r="C16" s="66">
        <f>IS!H28</f>
        <v>77.977034782176631</v>
      </c>
      <c r="D16" s="1"/>
      <c r="E16" s="1"/>
      <c r="F16" s="1"/>
      <c r="G16" s="1"/>
      <c r="H16" s="1"/>
    </row>
    <row r="17" spans="1:11" x14ac:dyDescent="0.2">
      <c r="A17" s="1" t="s">
        <v>320</v>
      </c>
      <c r="B17" s="1"/>
      <c r="C17" s="69">
        <f>DCF!D60</f>
        <v>15.165910889779848</v>
      </c>
      <c r="D17" s="1"/>
      <c r="E17" s="1"/>
      <c r="F17" s="1"/>
      <c r="G17" s="1"/>
      <c r="H17" s="1"/>
    </row>
    <row r="18" spans="1:11" x14ac:dyDescent="0.2">
      <c r="A18" s="1" t="s">
        <v>321</v>
      </c>
      <c r="B18" s="1"/>
      <c r="C18" s="65" t="str">
        <f>Checks!C3</f>
        <v>✓ ALL CHECKS PASS</v>
      </c>
      <c r="D18" s="1"/>
      <c r="E18" s="1"/>
      <c r="F18" s="1"/>
      <c r="G18" s="1"/>
      <c r="H18" s="1"/>
    </row>
    <row r="19" spans="1:11" x14ac:dyDescent="0.2">
      <c r="A19" s="1"/>
      <c r="B19" s="1"/>
      <c r="C19" s="1"/>
      <c r="D19" s="1"/>
      <c r="E19" s="1"/>
      <c r="F19" s="1"/>
      <c r="G19" s="1"/>
      <c r="H19" s="1"/>
    </row>
    <row r="20" spans="1:11" x14ac:dyDescent="0.2">
      <c r="A20" s="75" t="s">
        <v>322</v>
      </c>
      <c r="B20" s="75"/>
      <c r="C20" s="75"/>
      <c r="D20" s="75"/>
      <c r="E20" s="75"/>
      <c r="F20" s="75"/>
      <c r="G20" s="75"/>
      <c r="H20" s="75"/>
      <c r="I20" s="144"/>
      <c r="J20" s="144"/>
      <c r="K20" s="144"/>
    </row>
    <row r="21" spans="1:11" x14ac:dyDescent="0.2">
      <c r="A21" s="3" t="s">
        <v>323</v>
      </c>
      <c r="B21" s="1"/>
      <c r="C21" s="1" t="s">
        <v>389</v>
      </c>
      <c r="D21" s="1"/>
      <c r="E21" s="1"/>
      <c r="F21" s="1"/>
      <c r="G21" s="1"/>
      <c r="H21" s="1"/>
    </row>
    <row r="22" spans="1:11" x14ac:dyDescent="0.2">
      <c r="A22" s="3" t="s">
        <v>324</v>
      </c>
      <c r="B22" s="1"/>
      <c r="C22" s="1" t="s">
        <v>325</v>
      </c>
      <c r="D22" s="1"/>
      <c r="E22" s="1"/>
      <c r="F22" s="1"/>
      <c r="G22" s="1"/>
      <c r="H22" s="1"/>
    </row>
    <row r="23" spans="1:11" x14ac:dyDescent="0.2">
      <c r="A23" s="3" t="s">
        <v>326</v>
      </c>
      <c r="B23" s="1"/>
      <c r="C23" s="1" t="s">
        <v>327</v>
      </c>
      <c r="D23" s="1"/>
      <c r="E23" s="1"/>
      <c r="F23" s="1"/>
      <c r="G23" s="1"/>
      <c r="H23" s="1"/>
    </row>
    <row r="24" spans="1:11" x14ac:dyDescent="0.2">
      <c r="A24" s="3" t="s">
        <v>328</v>
      </c>
      <c r="B24" s="1"/>
      <c r="C24" s="1" t="s">
        <v>329</v>
      </c>
      <c r="D24" s="1"/>
      <c r="E24" s="1"/>
      <c r="F24" s="1"/>
      <c r="G24" s="1"/>
      <c r="H24" s="1"/>
    </row>
    <row r="25" spans="1:11" x14ac:dyDescent="0.2">
      <c r="A25" s="3" t="s">
        <v>330</v>
      </c>
      <c r="B25" s="1"/>
      <c r="C25" s="1" t="s">
        <v>331</v>
      </c>
      <c r="D25" s="1"/>
      <c r="E25" s="1"/>
      <c r="F25" s="1"/>
      <c r="G25" s="1"/>
      <c r="H25" s="1"/>
    </row>
    <row r="26" spans="1:11" x14ac:dyDescent="0.2">
      <c r="A26" s="3" t="s">
        <v>220</v>
      </c>
      <c r="B26" s="1"/>
      <c r="C26" s="1" t="s">
        <v>332</v>
      </c>
      <c r="D26" s="1"/>
      <c r="E26" s="1"/>
      <c r="F26" s="1"/>
      <c r="G26" s="1"/>
      <c r="H26" s="1"/>
    </row>
    <row r="27" spans="1:11" x14ac:dyDescent="0.2">
      <c r="A27" s="3" t="s">
        <v>333</v>
      </c>
      <c r="B27" s="1"/>
      <c r="C27" s="1" t="s">
        <v>334</v>
      </c>
      <c r="D27" s="1"/>
      <c r="E27" s="1"/>
      <c r="F27" s="1"/>
      <c r="G27" s="1"/>
      <c r="H27" s="1"/>
    </row>
    <row r="28" spans="1:11" x14ac:dyDescent="0.2">
      <c r="A28" s="3" t="s">
        <v>335</v>
      </c>
      <c r="B28" s="1"/>
      <c r="C28" s="1" t="s">
        <v>336</v>
      </c>
      <c r="D28" s="1"/>
      <c r="E28" s="1"/>
      <c r="F28" s="1"/>
      <c r="G28" s="1"/>
      <c r="H28" s="1"/>
    </row>
    <row r="29" spans="1:11" x14ac:dyDescent="0.2">
      <c r="A29" s="3" t="s">
        <v>387</v>
      </c>
      <c r="B29" s="1"/>
      <c r="C29" s="1" t="s">
        <v>388</v>
      </c>
      <c r="D29" s="1"/>
      <c r="E29" s="1"/>
      <c r="F29" s="1"/>
      <c r="G29" s="1"/>
      <c r="H29" s="1"/>
    </row>
    <row r="30" spans="1:11" x14ac:dyDescent="0.2">
      <c r="A30" s="75" t="s">
        <v>337</v>
      </c>
      <c r="B30" s="75"/>
      <c r="C30" s="75"/>
      <c r="D30" s="75"/>
      <c r="E30" s="75"/>
      <c r="F30" s="75"/>
      <c r="G30" s="75"/>
      <c r="H30" s="75"/>
      <c r="I30" s="144"/>
      <c r="J30" s="144"/>
      <c r="K30" s="144"/>
    </row>
    <row r="31" spans="1:11" x14ac:dyDescent="0.2">
      <c r="A31" s="70">
        <v>1234</v>
      </c>
      <c r="B31" s="1"/>
      <c r="C31" s="1" t="s">
        <v>338</v>
      </c>
      <c r="D31" s="1"/>
      <c r="E31" s="1"/>
      <c r="F31" s="1"/>
      <c r="G31" s="1"/>
      <c r="H31" s="1"/>
    </row>
    <row r="32" spans="1:11" x14ac:dyDescent="0.2">
      <c r="A32" s="71">
        <v>1234</v>
      </c>
      <c r="B32" s="1"/>
      <c r="C32" s="1" t="s">
        <v>339</v>
      </c>
      <c r="D32" s="1"/>
      <c r="E32" s="1"/>
      <c r="F32" s="1"/>
      <c r="G32" s="1"/>
      <c r="H32" s="1"/>
    </row>
    <row r="33" spans="1:11" x14ac:dyDescent="0.2">
      <c r="A33" s="67">
        <v>1234</v>
      </c>
      <c r="B33" s="1"/>
      <c r="C33" s="1" t="s">
        <v>340</v>
      </c>
      <c r="D33" s="1"/>
      <c r="E33" s="1"/>
      <c r="F33" s="1"/>
      <c r="G33" s="1"/>
      <c r="H33" s="1"/>
    </row>
    <row r="34" spans="1:11" x14ac:dyDescent="0.2">
      <c r="A34" s="72">
        <v>1234</v>
      </c>
      <c r="B34" s="1"/>
      <c r="C34" s="1" t="s">
        <v>341</v>
      </c>
      <c r="D34" s="1"/>
      <c r="E34" s="1"/>
      <c r="F34" s="1"/>
      <c r="G34" s="1"/>
      <c r="H34" s="1"/>
    </row>
    <row r="35" spans="1:11" x14ac:dyDescent="0.2">
      <c r="A35" s="78">
        <v>1234</v>
      </c>
      <c r="B35" s="1"/>
      <c r="C35" s="1" t="s">
        <v>355</v>
      </c>
      <c r="D35" s="1"/>
      <c r="E35" s="1"/>
      <c r="F35" s="1"/>
      <c r="G35" s="1"/>
      <c r="H35" s="1"/>
    </row>
    <row r="36" spans="1:11" x14ac:dyDescent="0.2">
      <c r="A36" s="1"/>
      <c r="B36" s="1"/>
      <c r="C36" s="1"/>
      <c r="D36" s="1"/>
      <c r="E36" s="1"/>
      <c r="F36" s="1"/>
      <c r="G36" s="1"/>
      <c r="H36" s="1"/>
    </row>
    <row r="37" spans="1:11" x14ac:dyDescent="0.2">
      <c r="A37" s="75" t="s">
        <v>342</v>
      </c>
      <c r="B37" s="75"/>
      <c r="C37" s="75"/>
      <c r="D37" s="75"/>
      <c r="E37" s="75"/>
      <c r="F37" s="75"/>
      <c r="G37" s="75"/>
      <c r="H37" s="75"/>
      <c r="I37" s="144"/>
      <c r="J37" s="144"/>
      <c r="K37" s="144"/>
    </row>
    <row r="38" spans="1:11" x14ac:dyDescent="0.2">
      <c r="A38" s="1" t="s">
        <v>343</v>
      </c>
      <c r="B38" s="1"/>
      <c r="C38" s="1"/>
      <c r="D38" s="1"/>
      <c r="E38" s="1"/>
      <c r="F38" s="1"/>
      <c r="G38" s="1"/>
      <c r="H38" s="1"/>
    </row>
    <row r="39" spans="1:11" x14ac:dyDescent="0.2">
      <c r="A39" s="1" t="s">
        <v>344</v>
      </c>
      <c r="B39" s="1"/>
      <c r="C39" s="1"/>
      <c r="D39" s="1"/>
      <c r="E39" s="1"/>
      <c r="F39" s="1"/>
      <c r="G39" s="1"/>
      <c r="H39" s="1"/>
    </row>
    <row r="40" spans="1:11" x14ac:dyDescent="0.2">
      <c r="A40" s="1" t="s">
        <v>345</v>
      </c>
      <c r="B40" s="1"/>
      <c r="C40" s="1"/>
      <c r="D40" s="1"/>
      <c r="E40" s="1"/>
      <c r="F40" s="1"/>
      <c r="G40" s="1"/>
      <c r="H40" s="1"/>
    </row>
    <row r="41" spans="1:11" x14ac:dyDescent="0.2">
      <c r="A41" s="1" t="s">
        <v>346</v>
      </c>
      <c r="B41" s="1"/>
      <c r="C41" s="1"/>
      <c r="D41" s="1"/>
      <c r="E41" s="1"/>
      <c r="F41" s="1"/>
      <c r="G41" s="1"/>
      <c r="H41" s="1"/>
    </row>
    <row r="42" spans="1:11" x14ac:dyDescent="0.2">
      <c r="A42" s="1" t="s">
        <v>347</v>
      </c>
      <c r="B42" s="1"/>
      <c r="C42" s="1"/>
      <c r="D42" s="1"/>
      <c r="E42" s="1"/>
      <c r="F42" s="1"/>
      <c r="G42" s="1"/>
      <c r="H42" s="1"/>
    </row>
    <row r="43" spans="1:11" x14ac:dyDescent="0.2">
      <c r="A43" s="1" t="s">
        <v>386</v>
      </c>
      <c r="B43" s="1"/>
      <c r="C43" s="1"/>
      <c r="D43" s="1"/>
      <c r="E43" s="1"/>
      <c r="F43" s="1"/>
      <c r="G43" s="1"/>
      <c r="H43" s="1"/>
    </row>
    <row r="44" spans="1:11" x14ac:dyDescent="0.2">
      <c r="A44" s="1"/>
      <c r="B44" s="1"/>
      <c r="C44" s="1"/>
      <c r="D44" s="1"/>
      <c r="E44" s="1"/>
      <c r="F44" s="1"/>
      <c r="G44" s="1"/>
      <c r="H44" s="1"/>
    </row>
    <row r="45" spans="1:11" x14ac:dyDescent="0.2">
      <c r="A45" s="75" t="s">
        <v>348</v>
      </c>
      <c r="B45" s="75"/>
      <c r="C45" s="75"/>
      <c r="D45" s="75"/>
      <c r="E45" s="75"/>
      <c r="F45" s="75"/>
      <c r="G45" s="145"/>
      <c r="H45" s="145"/>
    </row>
    <row r="46" spans="1:11" x14ac:dyDescent="0.2">
      <c r="A46" s="1" t="s">
        <v>349</v>
      </c>
      <c r="B46" s="1"/>
      <c r="C46" s="1"/>
      <c r="D46" s="1"/>
      <c r="E46" s="1"/>
      <c r="F46" s="1"/>
      <c r="G46" s="1"/>
      <c r="H46" s="1"/>
    </row>
    <row r="47" spans="1:11" x14ac:dyDescent="0.2">
      <c r="A47" s="1" t="s">
        <v>350</v>
      </c>
      <c r="B47" s="1"/>
      <c r="C47" s="1"/>
      <c r="D47" s="1"/>
      <c r="E47" s="1"/>
      <c r="F47" s="1"/>
      <c r="G47" s="1"/>
      <c r="H47" s="1"/>
    </row>
    <row r="48" spans="1:11" x14ac:dyDescent="0.2">
      <c r="A48" s="1" t="s">
        <v>351</v>
      </c>
      <c r="B48" s="1"/>
      <c r="C48" s="1"/>
      <c r="D48" s="1"/>
      <c r="E48" s="1"/>
      <c r="F48" s="1"/>
      <c r="G48" s="1"/>
      <c r="H48" s="1"/>
    </row>
    <row r="49" spans="1:8" x14ac:dyDescent="0.2">
      <c r="A49" s="1" t="s">
        <v>352</v>
      </c>
      <c r="B49" s="1"/>
      <c r="C49" s="1"/>
      <c r="D49" s="1"/>
      <c r="E49" s="1"/>
      <c r="F49" s="1"/>
      <c r="G49" s="1"/>
      <c r="H49" s="1"/>
    </row>
    <row r="50" spans="1:8" x14ac:dyDescent="0.2">
      <c r="A50" s="1" t="s">
        <v>353</v>
      </c>
      <c r="B50" s="1"/>
      <c r="C50" s="1"/>
      <c r="D50" s="1"/>
      <c r="E50" s="1"/>
      <c r="F50" s="1"/>
      <c r="G50" s="1"/>
      <c r="H50" s="1"/>
    </row>
    <row r="51" spans="1:8" x14ac:dyDescent="0.2">
      <c r="A51" s="1" t="s">
        <v>354</v>
      </c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3713-2DB8-DC4D-B3D5-F5D3F5A93930}">
  <sheetPr>
    <tabColor rgb="FF00B0AB"/>
  </sheetPr>
  <dimension ref="A1:G96"/>
  <sheetViews>
    <sheetView showGridLines="0"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55" customWidth="1"/>
    <col min="2" max="2" width="3.33203125" customWidth="1"/>
    <col min="3" max="7" width="12" customWidth="1"/>
  </cols>
  <sheetData>
    <row r="1" spans="1:7" ht="18" x14ac:dyDescent="0.2">
      <c r="A1" s="79" t="s">
        <v>0</v>
      </c>
      <c r="B1" s="1"/>
      <c r="C1" s="1"/>
      <c r="D1" s="1"/>
      <c r="E1" s="1"/>
      <c r="F1" s="1"/>
      <c r="G1" s="1"/>
    </row>
    <row r="2" spans="1:7" x14ac:dyDescent="0.2">
      <c r="A2" s="74" t="s">
        <v>1</v>
      </c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80" t="s">
        <v>2</v>
      </c>
      <c r="B4" s="80"/>
      <c r="C4" s="81" t="s">
        <v>3</v>
      </c>
      <c r="D4" s="81" t="s">
        <v>4</v>
      </c>
      <c r="E4" s="81" t="s">
        <v>5</v>
      </c>
      <c r="F4" s="81" t="s">
        <v>6</v>
      </c>
      <c r="G4" s="81" t="s">
        <v>7</v>
      </c>
    </row>
    <row r="5" spans="1:7" x14ac:dyDescent="0.2">
      <c r="A5" s="75" t="s">
        <v>8</v>
      </c>
      <c r="B5" s="75"/>
      <c r="C5" s="75"/>
      <c r="D5" s="75"/>
      <c r="E5" s="75"/>
      <c r="F5" s="75"/>
      <c r="G5" s="75"/>
    </row>
    <row r="6" spans="1:7" x14ac:dyDescent="0.2">
      <c r="A6" s="1" t="s">
        <v>9</v>
      </c>
      <c r="B6" s="1"/>
      <c r="C6" s="7">
        <v>121641</v>
      </c>
      <c r="D6" s="7">
        <v>146767</v>
      </c>
      <c r="E6" s="7">
        <v>153670</v>
      </c>
      <c r="F6" s="7">
        <v>162990</v>
      </c>
      <c r="G6" s="7">
        <v>178650</v>
      </c>
    </row>
    <row r="7" spans="1:7" x14ac:dyDescent="0.2">
      <c r="A7" s="1" t="s">
        <v>10</v>
      </c>
      <c r="B7" s="1"/>
      <c r="C7" s="7">
        <v>63986</v>
      </c>
      <c r="D7" s="7">
        <v>78359</v>
      </c>
      <c r="E7" s="7">
        <v>82620</v>
      </c>
      <c r="F7" s="7">
        <v>85950</v>
      </c>
      <c r="G7" s="7">
        <v>95094</v>
      </c>
    </row>
    <row r="8" spans="1:7" x14ac:dyDescent="0.2">
      <c r="A8" s="1" t="s">
        <v>11</v>
      </c>
      <c r="B8" s="1"/>
      <c r="C8" s="7">
        <v>12606</v>
      </c>
      <c r="D8" s="7">
        <v>14062</v>
      </c>
      <c r="E8" s="7">
        <v>12232</v>
      </c>
      <c r="F8" s="7">
        <v>12937</v>
      </c>
      <c r="G8" s="7">
        <v>15421</v>
      </c>
    </row>
    <row r="9" spans="1:7" x14ac:dyDescent="0.2">
      <c r="A9" s="1" t="s">
        <v>12</v>
      </c>
      <c r="B9" s="1"/>
      <c r="C9" s="7">
        <v>827</v>
      </c>
      <c r="D9" s="7">
        <v>1525</v>
      </c>
      <c r="E9" s="7">
        <v>1759</v>
      </c>
      <c r="F9" s="7">
        <v>1894</v>
      </c>
      <c r="G9" s="7">
        <v>2097</v>
      </c>
    </row>
    <row r="10" spans="1:7" x14ac:dyDescent="0.2">
      <c r="A10" s="1" t="s">
        <v>13</v>
      </c>
      <c r="B10" s="1"/>
      <c r="C10" s="7">
        <v>6811</v>
      </c>
      <c r="D10" s="7">
        <v>10902</v>
      </c>
      <c r="E10" s="7">
        <v>13515</v>
      </c>
      <c r="F10" s="7">
        <v>15911</v>
      </c>
      <c r="G10" s="7">
        <v>15722</v>
      </c>
    </row>
    <row r="11" spans="1:7" x14ac:dyDescent="0.2">
      <c r="A11" s="1" t="s">
        <v>14</v>
      </c>
      <c r="B11" s="1"/>
      <c r="C11" s="7">
        <v>611</v>
      </c>
      <c r="D11" s="7">
        <v>713</v>
      </c>
      <c r="E11" s="7">
        <v>677</v>
      </c>
      <c r="F11" s="7">
        <v>620</v>
      </c>
      <c r="G11" s="7">
        <v>603</v>
      </c>
    </row>
    <row r="12" spans="1:7" x14ac:dyDescent="0.2">
      <c r="A12" s="1" t="s">
        <v>15</v>
      </c>
      <c r="B12" s="1"/>
      <c r="C12" s="7">
        <v>1885</v>
      </c>
      <c r="D12" s="7">
        <v>1684</v>
      </c>
      <c r="E12" s="7">
        <v>1726</v>
      </c>
      <c r="F12" s="7">
        <v>1655</v>
      </c>
      <c r="G12" s="7">
        <v>2090</v>
      </c>
    </row>
    <row r="13" spans="1:7" x14ac:dyDescent="0.2">
      <c r="A13" s="1" t="s">
        <v>16</v>
      </c>
      <c r="B13" s="1"/>
      <c r="C13" s="7">
        <v>3424</v>
      </c>
      <c r="D13" s="7">
        <v>4392</v>
      </c>
      <c r="E13" s="7">
        <v>4716</v>
      </c>
      <c r="F13" s="7">
        <v>4787</v>
      </c>
      <c r="G13" s="7">
        <v>5343</v>
      </c>
    </row>
    <row r="14" spans="1:7" x14ac:dyDescent="0.2">
      <c r="A14" s="1" t="s">
        <v>17</v>
      </c>
      <c r="B14" s="1"/>
      <c r="C14" s="7">
        <v>3476</v>
      </c>
      <c r="D14" s="7">
        <v>4225</v>
      </c>
      <c r="E14" s="7">
        <v>4678</v>
      </c>
      <c r="F14" s="7">
        <v>4812</v>
      </c>
      <c r="G14" s="7">
        <v>4902</v>
      </c>
    </row>
    <row r="15" spans="1:7" x14ac:dyDescent="0.2">
      <c r="A15" s="1" t="s">
        <v>18</v>
      </c>
      <c r="B15" s="1"/>
      <c r="C15" s="7">
        <v>2295</v>
      </c>
      <c r="D15" s="7">
        <v>2701</v>
      </c>
      <c r="E15" s="7">
        <v>4711</v>
      </c>
      <c r="F15" s="7">
        <v>3600</v>
      </c>
      <c r="G15" s="7">
        <v>4322</v>
      </c>
    </row>
    <row r="16" spans="1:7" x14ac:dyDescent="0.2">
      <c r="A16" s="1" t="s">
        <v>19</v>
      </c>
      <c r="B16" s="1"/>
      <c r="C16" s="7">
        <v>200</v>
      </c>
      <c r="D16" s="7">
        <v>284</v>
      </c>
      <c r="E16" s="7">
        <v>470</v>
      </c>
      <c r="F16" s="7">
        <v>416</v>
      </c>
      <c r="G16" s="7">
        <v>416</v>
      </c>
    </row>
    <row r="17" spans="1:7" x14ac:dyDescent="0.2">
      <c r="A17" s="1" t="s">
        <v>20</v>
      </c>
      <c r="B17" s="1"/>
      <c r="C17" s="7">
        <v>0</v>
      </c>
      <c r="D17" s="7">
        <v>0</v>
      </c>
      <c r="E17" s="7">
        <v>0</v>
      </c>
      <c r="F17" s="7">
        <v>0</v>
      </c>
      <c r="G17" s="7">
        <v>1289</v>
      </c>
    </row>
    <row r="18" spans="1:7" x14ac:dyDescent="0.2">
      <c r="A18" s="3" t="s">
        <v>21</v>
      </c>
      <c r="B18" s="3"/>
      <c r="C18" s="11">
        <v>30110</v>
      </c>
      <c r="D18" s="11">
        <v>33322</v>
      </c>
      <c r="E18" s="11">
        <v>35988</v>
      </c>
      <c r="F18" s="11">
        <v>37608</v>
      </c>
      <c r="G18" s="11">
        <v>39995</v>
      </c>
    </row>
    <row r="19" spans="1:7" x14ac:dyDescent="0.2">
      <c r="A19" s="1" t="s">
        <v>22</v>
      </c>
      <c r="B19" s="1"/>
      <c r="C19" s="7">
        <v>7811</v>
      </c>
      <c r="D19" s="7">
        <v>9287</v>
      </c>
      <c r="E19" s="7">
        <v>8390</v>
      </c>
      <c r="F19" s="7">
        <v>12130</v>
      </c>
      <c r="G19" s="7">
        <v>11767</v>
      </c>
    </row>
    <row r="20" spans="1:7" x14ac:dyDescent="0.2">
      <c r="A20" s="1" t="s">
        <v>23</v>
      </c>
      <c r="B20" s="1"/>
      <c r="C20" s="7">
        <v>153</v>
      </c>
      <c r="D20" s="7">
        <v>-73</v>
      </c>
      <c r="E20" s="7">
        <v>1350</v>
      </c>
      <c r="F20" s="7">
        <v>-1272</v>
      </c>
      <c r="G20" s="7">
        <v>-1246</v>
      </c>
    </row>
    <row r="21" spans="1:7" x14ac:dyDescent="0.2">
      <c r="A21" s="3" t="s">
        <v>24</v>
      </c>
      <c r="B21" s="3"/>
      <c r="C21" s="11">
        <v>22146</v>
      </c>
      <c r="D21" s="11">
        <v>24108</v>
      </c>
      <c r="E21" s="11">
        <v>26248</v>
      </c>
      <c r="F21" s="11">
        <v>26750</v>
      </c>
      <c r="G21" s="11">
        <v>29474</v>
      </c>
    </row>
    <row r="22" spans="1:7" x14ac:dyDescent="0.2">
      <c r="A22" s="1" t="s">
        <v>25</v>
      </c>
      <c r="B22" s="1"/>
      <c r="C22" s="7">
        <v>36</v>
      </c>
      <c r="D22" s="7">
        <v>13</v>
      </c>
      <c r="E22" s="7">
        <v>15</v>
      </c>
      <c r="F22" s="7">
        <v>37</v>
      </c>
      <c r="G22" s="7">
        <v>34</v>
      </c>
    </row>
    <row r="23" spans="1:7" x14ac:dyDescent="0.2">
      <c r="A23" s="1" t="s">
        <v>26</v>
      </c>
      <c r="B23" s="1"/>
      <c r="C23" s="7">
        <v>22110</v>
      </c>
      <c r="D23" s="7">
        <v>24095</v>
      </c>
      <c r="E23" s="7">
        <v>26233</v>
      </c>
      <c r="F23" s="7">
        <v>26713</v>
      </c>
      <c r="G23" s="7">
        <v>29440</v>
      </c>
    </row>
    <row r="24" spans="1:7" x14ac:dyDescent="0.2">
      <c r="A24" s="1" t="s">
        <v>27</v>
      </c>
      <c r="B24" s="1"/>
      <c r="C24" s="8">
        <v>52.41</v>
      </c>
      <c r="D24" s="8">
        <v>57.54</v>
      </c>
      <c r="E24" s="8">
        <v>63.29</v>
      </c>
      <c r="F24" s="8">
        <v>64.34</v>
      </c>
      <c r="G24" s="8">
        <v>71.459999999999994</v>
      </c>
    </row>
    <row r="25" spans="1:7" x14ac:dyDescent="0.2">
      <c r="A25" s="1" t="s">
        <v>28</v>
      </c>
      <c r="B25" s="1"/>
      <c r="C25" s="7">
        <v>415</v>
      </c>
      <c r="D25" s="7">
        <v>519</v>
      </c>
      <c r="E25" s="7">
        <v>652</v>
      </c>
      <c r="F25" s="7">
        <v>802</v>
      </c>
      <c r="G25" s="7">
        <v>952</v>
      </c>
    </row>
    <row r="26" spans="1:7" x14ac:dyDescent="0.2">
      <c r="A26" s="1"/>
      <c r="B26" s="1"/>
      <c r="C26" s="7"/>
      <c r="D26" s="7"/>
      <c r="E26" s="7"/>
      <c r="F26" s="7"/>
      <c r="G26" s="7"/>
    </row>
    <row r="27" spans="1:7" x14ac:dyDescent="0.2">
      <c r="A27" s="75" t="s">
        <v>29</v>
      </c>
      <c r="B27" s="75"/>
      <c r="C27" s="82"/>
      <c r="D27" s="82"/>
      <c r="E27" s="82"/>
      <c r="F27" s="82"/>
      <c r="G27" s="82"/>
    </row>
    <row r="28" spans="1:7" x14ac:dyDescent="0.2">
      <c r="A28" s="4" t="s">
        <v>30</v>
      </c>
      <c r="B28" s="1"/>
      <c r="C28" s="7"/>
      <c r="D28" s="7"/>
      <c r="E28" s="7"/>
      <c r="F28" s="7"/>
      <c r="G28" s="7"/>
    </row>
    <row r="29" spans="1:7" x14ac:dyDescent="0.2">
      <c r="A29" s="1" t="s">
        <v>31</v>
      </c>
      <c r="B29" s="1"/>
      <c r="C29" s="7">
        <v>13075</v>
      </c>
      <c r="D29" s="7">
        <v>13346</v>
      </c>
      <c r="E29" s="7">
        <v>12370</v>
      </c>
      <c r="F29" s="7">
        <v>11778</v>
      </c>
      <c r="G29" s="7">
        <v>12651</v>
      </c>
    </row>
    <row r="30" spans="1:7" x14ac:dyDescent="0.2">
      <c r="A30" s="1" t="s">
        <v>32</v>
      </c>
      <c r="B30" s="1"/>
      <c r="C30" s="7">
        <v>4823</v>
      </c>
      <c r="D30" s="7">
        <v>6882</v>
      </c>
      <c r="E30" s="7">
        <v>6552</v>
      </c>
      <c r="F30" s="7">
        <v>6311</v>
      </c>
      <c r="G30" s="7">
        <v>6177</v>
      </c>
    </row>
    <row r="31" spans="1:7" x14ac:dyDescent="0.2">
      <c r="A31" s="1" t="s">
        <v>33</v>
      </c>
      <c r="B31" s="1"/>
      <c r="C31" s="7">
        <v>416</v>
      </c>
      <c r="D31" s="7">
        <v>288</v>
      </c>
      <c r="E31" s="7">
        <v>293</v>
      </c>
      <c r="F31" s="7">
        <v>814</v>
      </c>
      <c r="G31" s="7">
        <v>526</v>
      </c>
    </row>
    <row r="32" spans="1:7" x14ac:dyDescent="0.2">
      <c r="A32" s="1" t="s">
        <v>34</v>
      </c>
      <c r="B32" s="1"/>
      <c r="C32" s="7">
        <v>6195</v>
      </c>
      <c r="D32" s="7">
        <v>7248</v>
      </c>
      <c r="E32" s="7">
        <v>7303</v>
      </c>
      <c r="F32" s="7">
        <v>10106</v>
      </c>
      <c r="G32" s="7">
        <v>12117</v>
      </c>
    </row>
    <row r="33" spans="1:7" x14ac:dyDescent="0.2">
      <c r="A33" s="1" t="s">
        <v>35</v>
      </c>
      <c r="B33" s="1"/>
      <c r="C33" s="7">
        <v>1707</v>
      </c>
      <c r="D33" s="7">
        <v>1749</v>
      </c>
      <c r="E33" s="7">
        <v>1397</v>
      </c>
      <c r="F33" s="7">
        <v>2766</v>
      </c>
      <c r="G33" s="7">
        <v>2825</v>
      </c>
    </row>
    <row r="34" spans="1:7" x14ac:dyDescent="0.2">
      <c r="A34" s="1" t="s">
        <v>36</v>
      </c>
      <c r="B34" s="1"/>
      <c r="C34" s="7">
        <v>13651</v>
      </c>
      <c r="D34" s="7">
        <v>12569</v>
      </c>
      <c r="E34" s="7">
        <v>11708</v>
      </c>
      <c r="F34" s="7">
        <v>11059</v>
      </c>
      <c r="G34" s="7">
        <v>8930</v>
      </c>
    </row>
    <row r="35" spans="1:7" x14ac:dyDescent="0.2">
      <c r="A35" s="1" t="s">
        <v>37</v>
      </c>
      <c r="B35" s="1"/>
      <c r="C35" s="7">
        <v>34</v>
      </c>
      <c r="D35" s="7">
        <v>39</v>
      </c>
      <c r="E35" s="7">
        <v>34</v>
      </c>
      <c r="F35" s="7">
        <v>16</v>
      </c>
      <c r="G35" s="7">
        <v>6</v>
      </c>
    </row>
    <row r="36" spans="1:7" x14ac:dyDescent="0.2">
      <c r="A36" s="1" t="s">
        <v>38</v>
      </c>
      <c r="B36" s="1"/>
      <c r="C36" s="7">
        <v>1460</v>
      </c>
      <c r="D36" s="7">
        <v>2798</v>
      </c>
      <c r="E36" s="7">
        <v>3105</v>
      </c>
      <c r="F36" s="7">
        <v>3511</v>
      </c>
      <c r="G36" s="7">
        <v>2776</v>
      </c>
    </row>
    <row r="37" spans="1:7" x14ac:dyDescent="0.2">
      <c r="A37" s="1" t="s">
        <v>39</v>
      </c>
      <c r="B37" s="1"/>
      <c r="C37" s="7">
        <v>1212</v>
      </c>
      <c r="D37" s="7">
        <v>1245</v>
      </c>
      <c r="E37" s="7">
        <v>454</v>
      </c>
      <c r="F37" s="7">
        <v>1108</v>
      </c>
      <c r="G37" s="7">
        <v>2264</v>
      </c>
    </row>
    <row r="38" spans="1:7" x14ac:dyDescent="0.2">
      <c r="A38" s="1" t="s">
        <v>40</v>
      </c>
      <c r="B38" s="1"/>
      <c r="C38" s="7">
        <v>6098</v>
      </c>
      <c r="D38" s="7">
        <v>6453</v>
      </c>
      <c r="E38" s="7">
        <v>3045</v>
      </c>
      <c r="F38" s="7">
        <v>1622</v>
      </c>
      <c r="G38" s="7">
        <v>666</v>
      </c>
    </row>
    <row r="39" spans="1:7" x14ac:dyDescent="0.2">
      <c r="A39" s="1" t="s">
        <v>41</v>
      </c>
      <c r="B39" s="1"/>
      <c r="C39" s="7">
        <v>2029</v>
      </c>
      <c r="D39" s="7">
        <v>2318</v>
      </c>
      <c r="E39" s="7">
        <v>2121</v>
      </c>
      <c r="F39" s="7">
        <v>2713</v>
      </c>
      <c r="G39" s="7">
        <v>3540</v>
      </c>
    </row>
    <row r="40" spans="1:7" x14ac:dyDescent="0.2">
      <c r="A40" s="4" t="s">
        <v>42</v>
      </c>
      <c r="B40" s="1"/>
      <c r="C40" s="7"/>
      <c r="D40" s="7"/>
      <c r="E40" s="7"/>
      <c r="F40" s="7"/>
      <c r="G40" s="7"/>
    </row>
    <row r="41" spans="1:7" x14ac:dyDescent="0.2">
      <c r="A41" s="1" t="s">
        <v>43</v>
      </c>
      <c r="B41" s="1"/>
      <c r="C41" s="7">
        <v>6673</v>
      </c>
      <c r="D41" s="7">
        <v>6909</v>
      </c>
      <c r="E41" s="7">
        <v>12915</v>
      </c>
      <c r="F41" s="7">
        <v>12482</v>
      </c>
      <c r="G41" s="7">
        <v>12950</v>
      </c>
    </row>
    <row r="42" spans="1:7" x14ac:dyDescent="0.2">
      <c r="A42" s="1" t="s">
        <v>44</v>
      </c>
      <c r="B42" s="1"/>
      <c r="C42" s="7">
        <v>22698</v>
      </c>
      <c r="D42" s="7">
        <v>25424</v>
      </c>
      <c r="E42" s="7">
        <v>30193</v>
      </c>
      <c r="F42" s="7">
        <v>31158</v>
      </c>
      <c r="G42" s="7">
        <v>35234</v>
      </c>
    </row>
    <row r="43" spans="1:7" x14ac:dyDescent="0.2">
      <c r="A43" s="1" t="s">
        <v>45</v>
      </c>
      <c r="B43" s="1"/>
      <c r="C43" s="7">
        <v>17472</v>
      </c>
      <c r="D43" s="7">
        <v>12173</v>
      </c>
      <c r="E43" s="7">
        <v>14786</v>
      </c>
      <c r="F43" s="7">
        <v>24455</v>
      </c>
      <c r="G43" s="7">
        <v>22201</v>
      </c>
    </row>
    <row r="44" spans="1:7" x14ac:dyDescent="0.2">
      <c r="A44" s="1" t="s">
        <v>46</v>
      </c>
      <c r="B44" s="1"/>
      <c r="C44" s="7">
        <v>248</v>
      </c>
      <c r="D44" s="7">
        <v>289</v>
      </c>
      <c r="E44" s="7">
        <v>248</v>
      </c>
      <c r="F44" s="7">
        <v>249</v>
      </c>
      <c r="G44" s="7">
        <v>234</v>
      </c>
    </row>
    <row r="45" spans="1:7" x14ac:dyDescent="0.2">
      <c r="A45" s="1" t="s">
        <v>47</v>
      </c>
      <c r="B45" s="1"/>
      <c r="C45" s="7">
        <v>8727</v>
      </c>
      <c r="D45" s="7">
        <v>11604</v>
      </c>
      <c r="E45" s="7">
        <v>12085</v>
      </c>
      <c r="F45" s="7">
        <v>13840</v>
      </c>
      <c r="G45" s="7">
        <v>15890</v>
      </c>
    </row>
    <row r="46" spans="1:7" x14ac:dyDescent="0.2">
      <c r="A46" s="1" t="s">
        <v>48</v>
      </c>
      <c r="B46" s="1"/>
      <c r="C46" s="7">
        <v>54</v>
      </c>
      <c r="D46" s="7">
        <v>6</v>
      </c>
      <c r="E46" s="7">
        <v>6397</v>
      </c>
      <c r="F46" s="7">
        <v>2975</v>
      </c>
      <c r="G46" s="7">
        <v>1835</v>
      </c>
    </row>
    <row r="47" spans="1:7" x14ac:dyDescent="0.2">
      <c r="A47" s="1" t="s">
        <v>49</v>
      </c>
      <c r="B47" s="1"/>
      <c r="C47" s="7">
        <v>11313</v>
      </c>
      <c r="D47" s="7">
        <v>14476</v>
      </c>
      <c r="E47" s="7">
        <v>12808</v>
      </c>
      <c r="F47" s="7">
        <v>11940</v>
      </c>
      <c r="G47" s="7">
        <v>15145</v>
      </c>
    </row>
    <row r="48" spans="1:7" x14ac:dyDescent="0.2">
      <c r="A48" s="12" t="s">
        <v>50</v>
      </c>
      <c r="B48" s="12"/>
      <c r="C48" s="13">
        <v>117885</v>
      </c>
      <c r="D48" s="13">
        <v>125816</v>
      </c>
      <c r="E48" s="13">
        <v>137814</v>
      </c>
      <c r="F48" s="13">
        <v>148903</v>
      </c>
      <c r="G48" s="13">
        <v>155967</v>
      </c>
    </row>
    <row r="49" spans="1:7" x14ac:dyDescent="0.2">
      <c r="A49" s="4" t="s">
        <v>51</v>
      </c>
      <c r="B49" s="1"/>
      <c r="C49" s="7"/>
      <c r="D49" s="7"/>
      <c r="E49" s="7"/>
      <c r="F49" s="7"/>
      <c r="G49" s="7"/>
    </row>
    <row r="50" spans="1:7" x14ac:dyDescent="0.2">
      <c r="A50" s="1" t="s">
        <v>52</v>
      </c>
      <c r="B50" s="1"/>
      <c r="C50" s="7">
        <v>2098</v>
      </c>
      <c r="D50" s="7">
        <v>2069</v>
      </c>
      <c r="E50" s="7">
        <v>2071</v>
      </c>
      <c r="F50" s="7">
        <v>2073</v>
      </c>
      <c r="G50" s="7">
        <v>2024</v>
      </c>
    </row>
    <row r="51" spans="1:7" x14ac:dyDescent="0.2">
      <c r="A51" s="1" t="s">
        <v>53</v>
      </c>
      <c r="B51" s="1"/>
      <c r="C51" s="7">
        <v>73252</v>
      </c>
      <c r="D51" s="7">
        <v>73338</v>
      </c>
      <c r="E51" s="7">
        <v>86045</v>
      </c>
      <c r="F51" s="7">
        <v>93745</v>
      </c>
      <c r="G51" s="7">
        <v>90828</v>
      </c>
    </row>
    <row r="52" spans="1:7" x14ac:dyDescent="0.2">
      <c r="A52" s="1" t="s">
        <v>54</v>
      </c>
      <c r="B52" s="1"/>
      <c r="C52" s="7">
        <v>386</v>
      </c>
      <c r="D52" s="7">
        <v>388</v>
      </c>
      <c r="E52" s="7">
        <v>345</v>
      </c>
      <c r="F52" s="7">
        <v>385</v>
      </c>
      <c r="G52" s="7">
        <v>445</v>
      </c>
    </row>
    <row r="53" spans="1:7" x14ac:dyDescent="0.2">
      <c r="A53" s="4" t="s">
        <v>55</v>
      </c>
      <c r="B53" s="1"/>
      <c r="C53" s="7"/>
      <c r="D53" s="7"/>
      <c r="E53" s="7"/>
      <c r="F53" s="7"/>
      <c r="G53" s="7"/>
    </row>
    <row r="54" spans="1:7" x14ac:dyDescent="0.2">
      <c r="A54" s="1" t="s">
        <v>56</v>
      </c>
      <c r="B54" s="1"/>
      <c r="C54" s="7">
        <v>4602</v>
      </c>
      <c r="D54" s="7">
        <v>7057</v>
      </c>
      <c r="E54" s="7">
        <v>6400</v>
      </c>
      <c r="F54" s="7">
        <v>5772</v>
      </c>
      <c r="G54" s="7">
        <v>6016</v>
      </c>
    </row>
    <row r="55" spans="1:7" x14ac:dyDescent="0.2">
      <c r="A55" s="1" t="s">
        <v>57</v>
      </c>
      <c r="B55" s="1"/>
      <c r="C55" s="7">
        <v>2337</v>
      </c>
      <c r="D55" s="7">
        <v>2058</v>
      </c>
      <c r="E55" s="7">
        <v>2130</v>
      </c>
      <c r="F55" s="7">
        <v>2141</v>
      </c>
      <c r="G55" s="7">
        <v>2092</v>
      </c>
    </row>
    <row r="56" spans="1:7" x14ac:dyDescent="0.2">
      <c r="A56" s="1" t="s">
        <v>58</v>
      </c>
      <c r="B56" s="1"/>
      <c r="C56" s="7">
        <v>1156</v>
      </c>
      <c r="D56" s="7">
        <v>1220</v>
      </c>
      <c r="E56" s="7">
        <v>1794</v>
      </c>
      <c r="F56" s="7">
        <v>1722</v>
      </c>
      <c r="G56" s="7">
        <v>1679</v>
      </c>
    </row>
    <row r="57" spans="1:7" x14ac:dyDescent="0.2">
      <c r="A57" s="1" t="s">
        <v>59</v>
      </c>
      <c r="B57" s="1"/>
      <c r="C57" s="7">
        <v>451</v>
      </c>
      <c r="D57" s="7">
        <v>500</v>
      </c>
      <c r="E57" s="7">
        <v>235</v>
      </c>
      <c r="F57" s="7">
        <v>215</v>
      </c>
      <c r="G57" s="7">
        <v>561</v>
      </c>
    </row>
    <row r="58" spans="1:7" x14ac:dyDescent="0.2">
      <c r="A58" s="4" t="s">
        <v>60</v>
      </c>
      <c r="B58" s="1"/>
      <c r="C58" s="7"/>
      <c r="D58" s="7"/>
      <c r="E58" s="7"/>
      <c r="F58" s="7"/>
      <c r="G58" s="7"/>
    </row>
    <row r="59" spans="1:7" x14ac:dyDescent="0.2">
      <c r="A59" s="1" t="s">
        <v>61</v>
      </c>
      <c r="B59" s="1"/>
      <c r="C59" s="7">
        <v>872</v>
      </c>
      <c r="D59" s="7">
        <v>1242</v>
      </c>
      <c r="E59" s="7">
        <v>1959</v>
      </c>
      <c r="F59" s="7">
        <v>2455</v>
      </c>
      <c r="G59" s="7">
        <v>3160</v>
      </c>
    </row>
    <row r="60" spans="1:7" x14ac:dyDescent="0.2">
      <c r="A60" s="1" t="s">
        <v>62</v>
      </c>
      <c r="B60" s="1"/>
      <c r="C60" s="7">
        <v>4134</v>
      </c>
      <c r="D60" s="7">
        <v>3865</v>
      </c>
      <c r="E60" s="7">
        <v>3956</v>
      </c>
      <c r="F60" s="7">
        <v>4164</v>
      </c>
      <c r="G60" s="7">
        <v>4744</v>
      </c>
    </row>
    <row r="61" spans="1:7" x14ac:dyDescent="0.2">
      <c r="A61" s="1" t="s">
        <v>63</v>
      </c>
      <c r="B61" s="1"/>
      <c r="C61" s="7">
        <v>15837</v>
      </c>
      <c r="D61" s="7">
        <v>18558</v>
      </c>
      <c r="E61" s="7">
        <v>16959</v>
      </c>
      <c r="F61" s="7">
        <v>18138</v>
      </c>
      <c r="G61" s="7">
        <v>21483</v>
      </c>
    </row>
    <row r="62" spans="1:7" x14ac:dyDescent="0.2">
      <c r="A62" s="1" t="s">
        <v>64</v>
      </c>
      <c r="B62" s="1"/>
      <c r="C62" s="7">
        <v>9178</v>
      </c>
      <c r="D62" s="7">
        <v>10830</v>
      </c>
      <c r="E62" s="7">
        <v>10539</v>
      </c>
      <c r="F62" s="7">
        <v>11765</v>
      </c>
      <c r="G62" s="7">
        <v>15779</v>
      </c>
    </row>
    <row r="63" spans="1:7" x14ac:dyDescent="0.2">
      <c r="A63" s="1" t="s">
        <v>65</v>
      </c>
      <c r="B63" s="1"/>
      <c r="C63" s="7">
        <v>975</v>
      </c>
      <c r="D63" s="7">
        <v>1307</v>
      </c>
      <c r="E63" s="7">
        <v>1796</v>
      </c>
      <c r="F63" s="7">
        <v>1475</v>
      </c>
      <c r="G63" s="7">
        <v>1512</v>
      </c>
    </row>
    <row r="64" spans="1:7" x14ac:dyDescent="0.2">
      <c r="A64" s="1" t="s">
        <v>66</v>
      </c>
      <c r="B64" s="1"/>
      <c r="C64" s="7">
        <v>2607</v>
      </c>
      <c r="D64" s="7">
        <v>3384</v>
      </c>
      <c r="E64" s="7">
        <v>3585</v>
      </c>
      <c r="F64" s="7">
        <v>4853</v>
      </c>
      <c r="G64" s="7">
        <v>5644</v>
      </c>
    </row>
    <row r="65" spans="1:7" x14ac:dyDescent="0.2">
      <c r="A65" s="12" t="s">
        <v>67</v>
      </c>
      <c r="B65" s="12"/>
      <c r="C65" s="13">
        <v>117885</v>
      </c>
      <c r="D65" s="13">
        <v>125816</v>
      </c>
      <c r="E65" s="13">
        <v>137814</v>
      </c>
      <c r="F65" s="13">
        <v>148903</v>
      </c>
      <c r="G65" s="13">
        <v>155967</v>
      </c>
    </row>
    <row r="66" spans="1:7" x14ac:dyDescent="0.2">
      <c r="A66" s="1"/>
      <c r="B66" s="1"/>
      <c r="C66" s="7"/>
      <c r="D66" s="7"/>
      <c r="E66" s="7"/>
      <c r="F66" s="7"/>
      <c r="G66" s="7"/>
    </row>
    <row r="67" spans="1:7" x14ac:dyDescent="0.2">
      <c r="A67" s="75" t="s">
        <v>68</v>
      </c>
      <c r="B67" s="75"/>
      <c r="C67" s="82"/>
      <c r="D67" s="82"/>
      <c r="E67" s="82"/>
      <c r="F67" s="82"/>
      <c r="G67" s="82"/>
    </row>
    <row r="68" spans="1:7" x14ac:dyDescent="0.2">
      <c r="A68" s="3" t="s">
        <v>69</v>
      </c>
      <c r="B68" s="3"/>
      <c r="C68" s="11">
        <v>23885</v>
      </c>
      <c r="D68" s="11">
        <v>22467</v>
      </c>
      <c r="E68" s="11">
        <v>25210</v>
      </c>
      <c r="F68" s="11">
        <v>35694</v>
      </c>
      <c r="G68" s="11">
        <v>33986</v>
      </c>
    </row>
    <row r="69" spans="1:7" x14ac:dyDescent="0.2">
      <c r="A69" s="1" t="s">
        <v>70</v>
      </c>
      <c r="B69" s="1"/>
      <c r="C69" s="7">
        <v>-2161</v>
      </c>
      <c r="D69" s="7">
        <v>-2579</v>
      </c>
      <c r="E69" s="7">
        <v>-2201</v>
      </c>
      <c r="F69" s="7">
        <v>-2237</v>
      </c>
      <c r="G69" s="7">
        <v>-2727</v>
      </c>
    </row>
    <row r="70" spans="1:7" x14ac:dyDescent="0.2">
      <c r="A70" s="1" t="s">
        <v>71</v>
      </c>
      <c r="B70" s="1"/>
      <c r="C70" s="7">
        <v>-53</v>
      </c>
      <c r="D70" s="7">
        <v>-970</v>
      </c>
      <c r="E70" s="7">
        <v>-101</v>
      </c>
      <c r="F70" s="7">
        <v>-3155</v>
      </c>
      <c r="G70" s="7">
        <v>-650</v>
      </c>
    </row>
    <row r="71" spans="1:7" x14ac:dyDescent="0.2">
      <c r="A71" s="3" t="s">
        <v>72</v>
      </c>
      <c r="B71" s="3"/>
      <c r="C71" s="11">
        <v>-6416</v>
      </c>
      <c r="D71" s="11">
        <v>-1209</v>
      </c>
      <c r="E71" s="11">
        <v>-5009</v>
      </c>
      <c r="F71" s="11">
        <v>-1946</v>
      </c>
      <c r="G71" s="11">
        <v>1946</v>
      </c>
    </row>
    <row r="72" spans="1:7" x14ac:dyDescent="0.2">
      <c r="A72" s="1" t="s">
        <v>73</v>
      </c>
      <c r="B72" s="1"/>
      <c r="C72" s="7">
        <v>-915</v>
      </c>
      <c r="D72" s="7">
        <v>-1231</v>
      </c>
      <c r="E72" s="7">
        <v>-2024</v>
      </c>
      <c r="F72" s="7">
        <v>-2355</v>
      </c>
      <c r="G72" s="7">
        <v>-2824</v>
      </c>
    </row>
    <row r="73" spans="1:7" x14ac:dyDescent="0.2">
      <c r="A73" s="1" t="s">
        <v>74</v>
      </c>
      <c r="B73" s="1"/>
      <c r="C73" s="7">
        <v>-12731</v>
      </c>
      <c r="D73" s="7">
        <v>-13653</v>
      </c>
      <c r="E73" s="7">
        <v>-14731</v>
      </c>
      <c r="F73" s="7">
        <v>-20289</v>
      </c>
      <c r="G73" s="7">
        <v>-18656</v>
      </c>
    </row>
    <row r="74" spans="1:7" x14ac:dyDescent="0.2">
      <c r="A74" s="1" t="s">
        <v>75</v>
      </c>
      <c r="B74" s="1"/>
      <c r="C74" s="7">
        <v>-11125</v>
      </c>
      <c r="D74" s="7">
        <v>-11499</v>
      </c>
      <c r="E74" s="7">
        <v>0</v>
      </c>
      <c r="F74" s="7">
        <v>0</v>
      </c>
      <c r="G74" s="7">
        <v>-18058</v>
      </c>
    </row>
    <row r="75" spans="1:7" x14ac:dyDescent="0.2">
      <c r="A75" s="3" t="s">
        <v>76</v>
      </c>
      <c r="B75" s="3"/>
      <c r="C75" s="11">
        <v>-24642</v>
      </c>
      <c r="D75" s="11">
        <v>-26695</v>
      </c>
      <c r="E75" s="11">
        <v>-17504</v>
      </c>
      <c r="F75" s="11">
        <v>-24161</v>
      </c>
      <c r="G75" s="11">
        <v>-39786</v>
      </c>
    </row>
    <row r="76" spans="1:7" x14ac:dyDescent="0.2">
      <c r="A76" s="1" t="s">
        <v>77</v>
      </c>
      <c r="B76" s="1"/>
      <c r="C76" s="7">
        <v>-69</v>
      </c>
      <c r="D76" s="7">
        <v>138</v>
      </c>
      <c r="E76" s="7">
        <v>-84</v>
      </c>
      <c r="F76" s="7">
        <v>82</v>
      </c>
      <c r="G76" s="7">
        <v>1600</v>
      </c>
    </row>
    <row r="77" spans="1:7" x14ac:dyDescent="0.2">
      <c r="A77" s="1" t="s">
        <v>78</v>
      </c>
      <c r="B77" s="1"/>
      <c r="C77" s="7">
        <v>24714</v>
      </c>
      <c r="D77" s="7">
        <v>17472</v>
      </c>
      <c r="E77" s="7">
        <v>12173</v>
      </c>
      <c r="F77" s="7">
        <v>14786</v>
      </c>
      <c r="G77" s="7">
        <v>24455</v>
      </c>
    </row>
    <row r="78" spans="1:7" x14ac:dyDescent="0.2">
      <c r="A78" s="12" t="s">
        <v>79</v>
      </c>
      <c r="B78" s="12"/>
      <c r="C78" s="13">
        <v>17472</v>
      </c>
      <c r="D78" s="13">
        <v>12173</v>
      </c>
      <c r="E78" s="13">
        <v>14786</v>
      </c>
      <c r="F78" s="13">
        <v>24455</v>
      </c>
      <c r="G78" s="13">
        <v>22201</v>
      </c>
    </row>
    <row r="79" spans="1:7" x14ac:dyDescent="0.2">
      <c r="A79" s="1" t="s">
        <v>80</v>
      </c>
      <c r="B79" s="1"/>
      <c r="C79" s="7">
        <v>471</v>
      </c>
      <c r="D79" s="7">
        <v>362</v>
      </c>
      <c r="E79" s="7">
        <v>348</v>
      </c>
      <c r="F79" s="7">
        <v>424</v>
      </c>
      <c r="G79" s="7">
        <v>422</v>
      </c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75" t="s">
        <v>81</v>
      </c>
      <c r="B81" s="75"/>
      <c r="C81" s="75"/>
      <c r="D81" s="75"/>
      <c r="E81" s="75"/>
      <c r="F81" s="75"/>
      <c r="G81" s="75"/>
    </row>
    <row r="82" spans="1:7" x14ac:dyDescent="0.2">
      <c r="A82" s="80" t="s">
        <v>82</v>
      </c>
      <c r="B82" s="80"/>
      <c r="C82" s="80" t="s">
        <v>83</v>
      </c>
      <c r="D82" s="80"/>
      <c r="E82" s="80"/>
      <c r="F82" s="80"/>
      <c r="G82" s="80"/>
    </row>
    <row r="83" spans="1:7" x14ac:dyDescent="0.2">
      <c r="A83" s="1" t="s">
        <v>84</v>
      </c>
      <c r="B83" s="1"/>
      <c r="C83" s="7">
        <v>48211</v>
      </c>
      <c r="D83" s="1"/>
      <c r="E83" s="1"/>
      <c r="F83" s="1"/>
      <c r="G83" s="1"/>
    </row>
    <row r="84" spans="1:7" x14ac:dyDescent="0.2">
      <c r="A84" s="1" t="s">
        <v>85</v>
      </c>
      <c r="B84" s="1"/>
      <c r="C84" s="7">
        <v>42279</v>
      </c>
      <c r="D84" s="1"/>
      <c r="E84" s="1"/>
      <c r="F84" s="1"/>
      <c r="G84" s="1"/>
    </row>
    <row r="85" spans="1:7" x14ac:dyDescent="0.2">
      <c r="A85" s="1" t="s">
        <v>86</v>
      </c>
      <c r="B85" s="1"/>
      <c r="C85" s="7">
        <v>7769</v>
      </c>
      <c r="D85" s="1"/>
      <c r="E85" s="1"/>
      <c r="F85" s="1"/>
      <c r="G85" s="1"/>
    </row>
    <row r="86" spans="1:7" x14ac:dyDescent="0.2">
      <c r="A86" s="1" t="s">
        <v>87</v>
      </c>
      <c r="B86" s="1"/>
      <c r="C86" s="8">
        <v>19.170000000000002</v>
      </c>
      <c r="D86" s="1"/>
      <c r="E86" s="1"/>
      <c r="F86" s="1"/>
      <c r="G86" s="1"/>
    </row>
    <row r="87" spans="1:7" x14ac:dyDescent="0.2">
      <c r="A87" s="1" t="s">
        <v>97</v>
      </c>
      <c r="B87" s="1"/>
      <c r="C87" s="9">
        <f>C85/C86</f>
        <v>405.26864893062071</v>
      </c>
      <c r="D87" s="1"/>
      <c r="E87" s="1"/>
      <c r="F87" s="1"/>
      <c r="G87" s="1"/>
    </row>
    <row r="88" spans="1:7" x14ac:dyDescent="0.2">
      <c r="A88" s="1" t="s">
        <v>88</v>
      </c>
      <c r="B88" s="1"/>
      <c r="C88" s="10">
        <v>2.4E-2</v>
      </c>
      <c r="D88" s="1"/>
      <c r="E88" s="1"/>
      <c r="F88" s="1"/>
      <c r="G88" s="1"/>
    </row>
    <row r="89" spans="1:7" x14ac:dyDescent="0.2">
      <c r="A89" s="1" t="s">
        <v>89</v>
      </c>
      <c r="B89" s="1"/>
      <c r="C89" s="10">
        <v>1.4999999999999999E-2</v>
      </c>
      <c r="D89" s="1"/>
      <c r="E89" s="1"/>
      <c r="F89" s="1"/>
      <c r="G89" s="1"/>
    </row>
    <row r="90" spans="1:7" x14ac:dyDescent="0.2">
      <c r="A90" s="1" t="s">
        <v>90</v>
      </c>
      <c r="B90" s="1"/>
      <c r="C90" s="10">
        <v>0.03</v>
      </c>
      <c r="D90" s="1"/>
      <c r="E90" s="1"/>
      <c r="F90" s="1"/>
      <c r="G90" s="1"/>
    </row>
    <row r="91" spans="1:7" x14ac:dyDescent="0.2">
      <c r="A91" s="1" t="s">
        <v>91</v>
      </c>
      <c r="B91" s="1"/>
      <c r="C91" s="10">
        <v>0.2</v>
      </c>
      <c r="D91" s="1"/>
      <c r="E91" s="1"/>
      <c r="F91" s="1"/>
      <c r="G91" s="1"/>
    </row>
    <row r="92" spans="1:7" x14ac:dyDescent="0.2">
      <c r="A92" s="1" t="s">
        <v>92</v>
      </c>
      <c r="B92" s="1"/>
      <c r="C92" s="10">
        <v>0.22</v>
      </c>
      <c r="D92" s="1"/>
      <c r="E92" s="1"/>
      <c r="F92" s="1"/>
      <c r="G92" s="1"/>
    </row>
    <row r="93" spans="1:7" x14ac:dyDescent="0.2">
      <c r="A93" s="1" t="s">
        <v>93</v>
      </c>
      <c r="B93" s="1"/>
      <c r="C93" s="10">
        <v>3.1E-2</v>
      </c>
      <c r="D93" s="1"/>
      <c r="E93" s="1"/>
      <c r="F93" s="1"/>
      <c r="G93" s="1"/>
    </row>
    <row r="94" spans="1:7" x14ac:dyDescent="0.2">
      <c r="A94" s="1" t="s">
        <v>94</v>
      </c>
      <c r="B94" s="1"/>
      <c r="C94" s="7">
        <v>4410</v>
      </c>
      <c r="D94" s="1"/>
      <c r="E94" s="1"/>
      <c r="F94" s="1"/>
      <c r="G94" s="1"/>
    </row>
    <row r="95" spans="1:7" x14ac:dyDescent="0.2">
      <c r="A95" s="1" t="s">
        <v>95</v>
      </c>
      <c r="B95" s="1"/>
      <c r="C95" s="7">
        <v>901</v>
      </c>
      <c r="D95" s="1"/>
      <c r="E95" s="1"/>
      <c r="F95" s="1"/>
      <c r="G95" s="1"/>
    </row>
    <row r="96" spans="1:7" x14ac:dyDescent="0.2">
      <c r="A96" s="1" t="s">
        <v>96</v>
      </c>
      <c r="B96" s="1"/>
      <c r="C96" s="8">
        <v>25</v>
      </c>
      <c r="D96" s="1"/>
      <c r="E96" s="1"/>
      <c r="F96" s="1"/>
      <c r="G9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8498-30E6-7A4C-81E9-782299D9D3A0}">
  <sheetPr>
    <tabColor rgb="FF00B0AB"/>
  </sheetPr>
  <dimension ref="A1:L63"/>
  <sheetViews>
    <sheetView showGridLines="0"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55" customWidth="1"/>
    <col min="2" max="2" width="2" customWidth="1"/>
    <col min="3" max="12" width="12.33203125" customWidth="1"/>
  </cols>
  <sheetData>
    <row r="1" spans="1:12" ht="18" x14ac:dyDescent="0.2">
      <c r="A1" s="79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74" t="s">
        <v>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3" t="s">
        <v>100</v>
      </c>
      <c r="B4" s="1"/>
      <c r="C4" s="1"/>
      <c r="D4" s="83">
        <v>2</v>
      </c>
      <c r="E4" s="3" t="str">
        <f>CHOOSE($D$4,"Bear case","Base case","Bull case")</f>
        <v>Base case</v>
      </c>
      <c r="F4" s="1"/>
      <c r="G4" s="1"/>
      <c r="H4" s="96"/>
      <c r="I4" s="1"/>
      <c r="J4" s="1"/>
      <c r="K4" s="1"/>
      <c r="L4" s="1"/>
    </row>
    <row r="5" spans="1:12" x14ac:dyDescent="0.2">
      <c r="A5" s="1"/>
      <c r="B5" s="5"/>
      <c r="C5" s="5"/>
      <c r="D5" s="5"/>
      <c r="E5" s="5"/>
      <c r="F5" s="5"/>
      <c r="G5" s="5"/>
      <c r="H5" s="97"/>
      <c r="I5" s="5"/>
      <c r="J5" s="5"/>
      <c r="K5" s="5"/>
      <c r="L5" s="5"/>
    </row>
    <row r="6" spans="1:12" x14ac:dyDescent="0.2">
      <c r="A6" s="75" t="s">
        <v>101</v>
      </c>
      <c r="B6" s="84"/>
      <c r="C6" s="84" t="s">
        <v>3</v>
      </c>
      <c r="D6" s="84" t="s">
        <v>4</v>
      </c>
      <c r="E6" s="84" t="s">
        <v>5</v>
      </c>
      <c r="F6" s="84" t="s">
        <v>6</v>
      </c>
      <c r="G6" s="84" t="s">
        <v>7</v>
      </c>
      <c r="H6" s="98" t="s">
        <v>102</v>
      </c>
      <c r="I6" s="84" t="s">
        <v>103</v>
      </c>
      <c r="J6" s="84" t="s">
        <v>104</v>
      </c>
      <c r="K6" s="84" t="s">
        <v>105</v>
      </c>
      <c r="L6" s="84" t="s">
        <v>106</v>
      </c>
    </row>
    <row r="7" spans="1:12" x14ac:dyDescent="0.2">
      <c r="A7" s="4" t="s">
        <v>107</v>
      </c>
      <c r="B7" s="5"/>
      <c r="C7" s="5"/>
      <c r="D7" s="5"/>
      <c r="E7" s="5"/>
      <c r="F7" s="5"/>
      <c r="G7" s="5"/>
      <c r="H7" s="97"/>
      <c r="I7" s="5"/>
      <c r="J7" s="5"/>
      <c r="K7" s="5"/>
      <c r="L7" s="5"/>
    </row>
    <row r="8" spans="1:12" x14ac:dyDescent="0.2">
      <c r="A8" s="1" t="s">
        <v>108</v>
      </c>
      <c r="B8" s="14"/>
      <c r="C8" s="14"/>
      <c r="D8" s="14"/>
      <c r="E8" s="14"/>
      <c r="F8" s="14"/>
      <c r="G8" s="17">
        <f>Hist!C93</f>
        <v>3.1E-2</v>
      </c>
      <c r="H8" s="99">
        <f>CHOOSE($D$4,H34,H45,H56)</f>
        <v>2.5000000000000001E-2</v>
      </c>
      <c r="I8" s="18">
        <f>CHOOSE($D$4,I34,I45,I56)</f>
        <v>0.05</v>
      </c>
      <c r="J8" s="18">
        <f>CHOOSE($D$4,J34,J45,J56)</f>
        <v>0.06</v>
      </c>
      <c r="K8" s="18">
        <f>CHOOSE($D$4,K34,K45,K56)</f>
        <v>0.06</v>
      </c>
      <c r="L8" s="18">
        <f>CHOOSE($D$4,L34,L45,L56)</f>
        <v>5.5E-2</v>
      </c>
    </row>
    <row r="9" spans="1:12" x14ac:dyDescent="0.2">
      <c r="A9" s="1" t="s">
        <v>109</v>
      </c>
      <c r="B9" s="14"/>
      <c r="C9" s="14"/>
      <c r="D9" s="14"/>
      <c r="E9" s="14"/>
      <c r="F9" s="14"/>
      <c r="G9" s="14"/>
      <c r="H9" s="99">
        <f>CHOOSE($D$4,H35,H46,H57)</f>
        <v>7.0000000000000007E-2</v>
      </c>
      <c r="I9" s="18">
        <f>CHOOSE($D$4,I35,I46,I57)</f>
        <v>2.5000000000000001E-2</v>
      </c>
      <c r="J9" s="18">
        <f>CHOOSE($D$4,J35,J46,J57)</f>
        <v>2.5000000000000001E-2</v>
      </c>
      <c r="K9" s="18">
        <f>CHOOSE($D$4,K35,K46,K57)</f>
        <v>2.5000000000000001E-2</v>
      </c>
      <c r="L9" s="18">
        <f>CHOOSE($D$4,L35,L46,L57)</f>
        <v>2.5000000000000001E-2</v>
      </c>
    </row>
    <row r="10" spans="1:12" x14ac:dyDescent="0.2">
      <c r="A10" s="3" t="s">
        <v>116</v>
      </c>
      <c r="B10" s="16"/>
      <c r="C10" s="16"/>
      <c r="D10" s="19">
        <f>IS!D7</f>
        <v>0.20655864387829759</v>
      </c>
      <c r="E10" s="19">
        <f>IS!E7</f>
        <v>4.7033733741236095E-2</v>
      </c>
      <c r="F10" s="19">
        <f>IS!F7</f>
        <v>6.0649443612936782E-2</v>
      </c>
      <c r="G10" s="19">
        <f>IS!G7</f>
        <v>9.6079514080618544E-2</v>
      </c>
      <c r="H10" s="100">
        <f>(1+H8)*(1+H9)-1</f>
        <v>9.6749999999999892E-2</v>
      </c>
      <c r="I10" s="20">
        <f>(1+I8)*(1+I9)-1</f>
        <v>7.6249999999999929E-2</v>
      </c>
      <c r="J10" s="20">
        <f>(1+J8)*(1+J9)-1</f>
        <v>8.6500000000000021E-2</v>
      </c>
      <c r="K10" s="20">
        <f>(1+K8)*(1+K9)-1</f>
        <v>8.6500000000000021E-2</v>
      </c>
      <c r="L10" s="20">
        <f>(1+L8)*(1+L9)-1</f>
        <v>8.1374999999999753E-2</v>
      </c>
    </row>
    <row r="11" spans="1:12" x14ac:dyDescent="0.2">
      <c r="A11" s="1" t="s">
        <v>110</v>
      </c>
      <c r="B11" s="14"/>
      <c r="C11" s="17">
        <f>IS!C9</f>
        <v>0.52602329806561932</v>
      </c>
      <c r="D11" s="17">
        <f>IS!D9</f>
        <v>0.53390067249449813</v>
      </c>
      <c r="E11" s="17">
        <f>IS!E9</f>
        <v>0.53764560421682828</v>
      </c>
      <c r="F11" s="17">
        <f>IS!F9</f>
        <v>0.52733296521258977</v>
      </c>
      <c r="G11" s="17">
        <f>IS!G9</f>
        <v>0.53229219143576822</v>
      </c>
      <c r="H11" s="99">
        <f>CHOOSE($D$4,H36,H47,H58)</f>
        <v>0.53</v>
      </c>
      <c r="I11" s="18">
        <f>CHOOSE($D$4,I36,I47,I58)</f>
        <v>0.52800000000000002</v>
      </c>
      <c r="J11" s="18">
        <f>CHOOSE($D$4,J36,J47,J58)</f>
        <v>0.52600000000000002</v>
      </c>
      <c r="K11" s="18">
        <f>CHOOSE($D$4,K36,K47,K58)</f>
        <v>0.52500000000000002</v>
      </c>
      <c r="L11" s="18">
        <f>CHOOSE($D$4,L36,L47,L58)</f>
        <v>0.52500000000000002</v>
      </c>
    </row>
    <row r="12" spans="1:12" x14ac:dyDescent="0.2">
      <c r="A12" s="1" t="s">
        <v>111</v>
      </c>
      <c r="B12" s="14"/>
      <c r="C12" s="17">
        <f>IS!C16</f>
        <v>0.23030885967724699</v>
      </c>
      <c r="D12" s="17">
        <f>IS!D16</f>
        <v>0.21057185879659596</v>
      </c>
      <c r="E12" s="17">
        <f>IS!E16</f>
        <v>0.20659204789483959</v>
      </c>
      <c r="F12" s="17">
        <f>IS!F16</f>
        <v>0.21120314129701209</v>
      </c>
      <c r="G12" s="17">
        <f>IS!G16</f>
        <v>0.20922474111390987</v>
      </c>
      <c r="H12" s="99">
        <f>CHOOSE($D$4,H37,H48,H59)</f>
        <v>0.21</v>
      </c>
      <c r="I12" s="18">
        <f>CHOOSE($D$4,I37,I48,I59)</f>
        <v>0.21</v>
      </c>
      <c r="J12" s="18">
        <f>CHOOSE($D$4,J37,J48,J59)</f>
        <v>0.21199999999999999</v>
      </c>
      <c r="K12" s="18">
        <f>CHOOSE($D$4,K37,K48,K59)</f>
        <v>0.21299999999999999</v>
      </c>
      <c r="L12" s="18">
        <f>CHOOSE($D$4,L37,L48,L59)</f>
        <v>0.21299999999999999</v>
      </c>
    </row>
    <row r="13" spans="1:12" x14ac:dyDescent="0.2">
      <c r="A13" s="1" t="s">
        <v>112</v>
      </c>
      <c r="B13" s="14"/>
      <c r="C13" s="17">
        <f>IS!C14/IS!C6</f>
        <v>2.8575891352422292E-2</v>
      </c>
      <c r="D13" s="17">
        <f>IS!D14/IS!D6</f>
        <v>2.8787125171189708E-2</v>
      </c>
      <c r="E13" s="17">
        <f>IS!E14/IS!E6</f>
        <v>3.0441855925034164E-2</v>
      </c>
      <c r="F13" s="17">
        <f>IS!F14/IS!F6</f>
        <v>2.9523283637032948E-2</v>
      </c>
      <c r="G13" s="17">
        <f>IS!G14/IS!G6</f>
        <v>2.7439126784214944E-2</v>
      </c>
      <c r="H13" s="99">
        <f>CHOOSE($D$4,H38,H49,H60)</f>
        <v>2.8000000000000001E-2</v>
      </c>
      <c r="I13" s="18">
        <f>CHOOSE($D$4,I38,I49,I60)</f>
        <v>2.8000000000000001E-2</v>
      </c>
      <c r="J13" s="18">
        <f>CHOOSE($D$4,J38,J49,J60)</f>
        <v>2.8000000000000001E-2</v>
      </c>
      <c r="K13" s="18">
        <f>CHOOSE($D$4,K38,K49,K60)</f>
        <v>2.8000000000000001E-2</v>
      </c>
      <c r="L13" s="18">
        <f>CHOOSE($D$4,L38,L49,L60)</f>
        <v>2.8000000000000001E-2</v>
      </c>
    </row>
    <row r="14" spans="1:12" x14ac:dyDescent="0.2">
      <c r="A14" s="1" t="s">
        <v>113</v>
      </c>
      <c r="B14" s="14"/>
      <c r="C14" s="17">
        <f>-CF!C17/IS!C6</f>
        <v>1.7765391603160118E-2</v>
      </c>
      <c r="D14" s="17">
        <f>-CF!D17/IS!D6</f>
        <v>1.7572070015739231E-2</v>
      </c>
      <c r="E14" s="17">
        <f>-CF!E17/IS!E6</f>
        <v>1.4322899720179605E-2</v>
      </c>
      <c r="F14" s="17">
        <f>-CF!F17/IS!F6</f>
        <v>1.3724768390698815E-2</v>
      </c>
      <c r="G14" s="17">
        <f>-CF!G17/IS!G6</f>
        <v>1.5264483627204031E-2</v>
      </c>
      <c r="H14" s="99">
        <f>CHOOSE($D$4,H39,H50,H61)</f>
        <v>1.6E-2</v>
      </c>
      <c r="I14" s="18">
        <f>CHOOSE($D$4,I39,I50,I61)</f>
        <v>1.6E-2</v>
      </c>
      <c r="J14" s="18">
        <f>CHOOSE($D$4,J39,J50,J61)</f>
        <v>1.6E-2</v>
      </c>
      <c r="K14" s="18">
        <f>CHOOSE($D$4,K39,K50,K61)</f>
        <v>1.6E-2</v>
      </c>
      <c r="L14" s="18">
        <f>CHOOSE($D$4,L39,L50,L61)</f>
        <v>1.6E-2</v>
      </c>
    </row>
    <row r="15" spans="1:12" x14ac:dyDescent="0.2">
      <c r="A15" s="1" t="s">
        <v>114</v>
      </c>
      <c r="B15" s="15"/>
      <c r="C15" s="21">
        <f>BS!C38</f>
        <v>68.108368066688044</v>
      </c>
      <c r="D15" s="21">
        <f>BS!D38</f>
        <v>63.227837320378555</v>
      </c>
      <c r="E15" s="21">
        <f>BS!E38</f>
        <v>71.715006182078483</v>
      </c>
      <c r="F15" s="21">
        <f>BS!F38</f>
        <v>69.775262286029815</v>
      </c>
      <c r="G15" s="21">
        <f>BS!G38</f>
        <v>71.986621886370003</v>
      </c>
      <c r="H15" s="101">
        <f>CHOOSE($D$4,H40,H51,H62)</f>
        <v>72</v>
      </c>
      <c r="I15" s="22">
        <f>CHOOSE($D$4,I40,I51,I62)</f>
        <v>72</v>
      </c>
      <c r="J15" s="22">
        <f>CHOOSE($D$4,J40,J51,J62)</f>
        <v>72</v>
      </c>
      <c r="K15" s="22">
        <f>CHOOSE($D$4,K40,K51,K62)</f>
        <v>72</v>
      </c>
      <c r="L15" s="22">
        <f>CHOOSE($D$4,L40,L51,L62)</f>
        <v>72</v>
      </c>
    </row>
    <row r="16" spans="1:12" x14ac:dyDescent="0.2">
      <c r="A16" s="1" t="s">
        <v>115</v>
      </c>
      <c r="B16" s="14"/>
      <c r="C16" s="17">
        <f>IS!C22</f>
        <v>0.26449684490202591</v>
      </c>
      <c r="D16" s="17">
        <f>IS!D22</f>
        <v>0.27651401476502013</v>
      </c>
      <c r="E16" s="17">
        <f>IS!E22</f>
        <v>0.27064577081249308</v>
      </c>
      <c r="F16" s="17">
        <f>IS!F22</f>
        <v>0.28871516698574773</v>
      </c>
      <c r="G16" s="17">
        <f>IS!G22</f>
        <v>0.26305788223527943</v>
      </c>
      <c r="H16" s="99">
        <f>CHOOSE($D$4,H41,H52,H63)</f>
        <v>0.27500000000000002</v>
      </c>
      <c r="I16" s="18">
        <f>CHOOSE($D$4,I41,I52,I63)</f>
        <v>0.27500000000000002</v>
      </c>
      <c r="J16" s="18">
        <f>CHOOSE($D$4,J41,J52,J63)</f>
        <v>0.27500000000000002</v>
      </c>
      <c r="K16" s="18">
        <f>CHOOSE($D$4,K41,K52,K63)</f>
        <v>0.27500000000000002</v>
      </c>
      <c r="L16" s="18">
        <f>CHOOSE($D$4,L41,L52,L63)</f>
        <v>0.27500000000000002</v>
      </c>
    </row>
    <row r="17" spans="1:12" x14ac:dyDescent="0.2">
      <c r="A17" s="1"/>
      <c r="B17" s="5"/>
      <c r="C17" s="5"/>
      <c r="D17" s="5"/>
      <c r="E17" s="5"/>
      <c r="F17" s="5"/>
      <c r="G17" s="5"/>
      <c r="H17" s="97"/>
      <c r="I17" s="5"/>
      <c r="J17" s="5"/>
      <c r="K17" s="5"/>
      <c r="L17" s="5"/>
    </row>
    <row r="18" spans="1:12" x14ac:dyDescent="0.2">
      <c r="A18" s="4" t="s">
        <v>117</v>
      </c>
      <c r="B18" s="5"/>
      <c r="C18" s="5"/>
      <c r="D18" s="5"/>
      <c r="E18" s="5"/>
      <c r="F18" s="5"/>
      <c r="G18" s="5"/>
      <c r="H18" s="97"/>
      <c r="I18" s="5"/>
      <c r="J18" s="5"/>
      <c r="K18" s="5"/>
      <c r="L18" s="5"/>
    </row>
    <row r="19" spans="1:12" x14ac:dyDescent="0.2">
      <c r="A19" s="1" t="s">
        <v>118</v>
      </c>
      <c r="B19" s="14"/>
      <c r="C19" s="17">
        <f>IS!C29/IS!C6</f>
        <v>3.4116786280941457E-3</v>
      </c>
      <c r="D19" s="17">
        <f>IS!D29/IS!D6</f>
        <v>3.5362172695496946E-3</v>
      </c>
      <c r="E19" s="17">
        <f>IS!E29/IS!E6</f>
        <v>4.2428580724930042E-3</v>
      </c>
      <c r="F19" s="17">
        <f>IS!F29/IS!F6</f>
        <v>4.9205472728388244E-3</v>
      </c>
      <c r="G19" s="17">
        <f>IS!G29/IS!G6</f>
        <v>5.3288553036663867E-3</v>
      </c>
      <c r="H19" s="102">
        <v>5.4999999999999997E-3</v>
      </c>
      <c r="I19" s="23">
        <v>5.4999999999999997E-3</v>
      </c>
      <c r="J19" s="23">
        <v>5.4999999999999997E-3</v>
      </c>
      <c r="K19" s="23">
        <v>5.4999999999999997E-3</v>
      </c>
      <c r="L19" s="23">
        <v>5.4999999999999997E-3</v>
      </c>
    </row>
    <row r="20" spans="1:12" x14ac:dyDescent="0.2">
      <c r="A20" s="1" t="s">
        <v>119</v>
      </c>
      <c r="B20" s="14"/>
      <c r="C20" s="17">
        <f>BS!C10/IS!C6</f>
        <v>0.16678586989584104</v>
      </c>
      <c r="D20" s="17">
        <f>BS!D10/IS!D6</f>
        <v>0.17966572867197667</v>
      </c>
      <c r="E20" s="17">
        <f>BS!E10/IS!E6</f>
        <v>0.16360382638120649</v>
      </c>
      <c r="F20" s="17">
        <f>BS!F10/IS!F6</f>
        <v>0.15969691392109944</v>
      </c>
      <c r="G20" s="17">
        <f>BS!G10/IS!G6</f>
        <v>0.17502938706968935</v>
      </c>
      <c r="H20" s="102">
        <v>0.17499999999999999</v>
      </c>
      <c r="I20" s="23">
        <v>0.17499999999999999</v>
      </c>
      <c r="J20" s="23">
        <v>0.17499999999999999</v>
      </c>
      <c r="K20" s="23">
        <v>0.17499999999999999</v>
      </c>
      <c r="L20" s="23">
        <v>0.17499999999999999</v>
      </c>
    </row>
    <row r="21" spans="1:12" x14ac:dyDescent="0.2">
      <c r="A21" s="1" t="s">
        <v>120</v>
      </c>
      <c r="B21" s="14"/>
      <c r="C21" s="17">
        <f>BS!C18/IS!C6</f>
        <v>3.3985251683231806E-2</v>
      </c>
      <c r="D21" s="17">
        <f>BS!D18/IS!D6</f>
        <v>2.6334257700981828E-2</v>
      </c>
      <c r="E21" s="17">
        <f>BS!E18/IS!E6</f>
        <v>2.5743476280340991E-2</v>
      </c>
      <c r="F21" s="17">
        <f>BS!F18/IS!F6</f>
        <v>2.5547579606110805E-2</v>
      </c>
      <c r="G21" s="17">
        <f>BS!G18/IS!G6</f>
        <v>2.6554715924993002E-2</v>
      </c>
      <c r="H21" s="102">
        <v>2.7E-2</v>
      </c>
      <c r="I21" s="23">
        <v>2.7E-2</v>
      </c>
      <c r="J21" s="23">
        <v>2.7E-2</v>
      </c>
      <c r="K21" s="23">
        <v>2.7E-2</v>
      </c>
      <c r="L21" s="23">
        <v>2.7E-2</v>
      </c>
    </row>
    <row r="22" spans="1:12" x14ac:dyDescent="0.2">
      <c r="A22" s="1" t="s">
        <v>121</v>
      </c>
      <c r="B22" s="14"/>
      <c r="C22" s="17">
        <f>BS!C19/IS!C6</f>
        <v>0.21366151215461893</v>
      </c>
      <c r="D22" s="17">
        <f>BS!D19/IS!D6</f>
        <v>0.2091410194389747</v>
      </c>
      <c r="E22" s="17">
        <f>BS!E19/IS!E6</f>
        <v>0.19062927051473938</v>
      </c>
      <c r="F22" s="17">
        <f>BS!F19/IS!F6</f>
        <v>0.19251487821338734</v>
      </c>
      <c r="G22" s="17">
        <f>BS!G19/IS!G6</f>
        <v>0.21703890288273159</v>
      </c>
      <c r="H22" s="102">
        <v>0.217</v>
      </c>
      <c r="I22" s="23">
        <v>0.217</v>
      </c>
      <c r="J22" s="23">
        <v>0.217</v>
      </c>
      <c r="K22" s="23">
        <v>0.217</v>
      </c>
      <c r="L22" s="23">
        <v>0.217</v>
      </c>
    </row>
    <row r="23" spans="1:12" x14ac:dyDescent="0.2">
      <c r="A23" s="1" t="s">
        <v>122</v>
      </c>
      <c r="B23" s="14"/>
      <c r="C23" s="17">
        <f>BS!C21/IS!C6</f>
        <v>4.5001274241415312E-2</v>
      </c>
      <c r="D23" s="17">
        <f>BS!D21/IS!D6</f>
        <v>5.6545408709042226E-2</v>
      </c>
      <c r="E23" s="17">
        <f>BS!E21/IS!E6</f>
        <v>5.4395783171731632E-2</v>
      </c>
      <c r="F23" s="17">
        <f>BS!F21/IS!F6</f>
        <v>5.0475489293821708E-2</v>
      </c>
      <c r="G23" s="17">
        <f>BS!G21/IS!G6</f>
        <v>5.1363000279876857E-2</v>
      </c>
      <c r="H23" s="102">
        <v>5.0999999999999997E-2</v>
      </c>
      <c r="I23" s="23">
        <v>5.0999999999999997E-2</v>
      </c>
      <c r="J23" s="23">
        <v>5.0999999999999997E-2</v>
      </c>
      <c r="K23" s="23">
        <v>5.0999999999999997E-2</v>
      </c>
      <c r="L23" s="23">
        <v>5.0999999999999997E-2</v>
      </c>
    </row>
    <row r="24" spans="1:12" x14ac:dyDescent="0.2">
      <c r="A24" s="1" t="s">
        <v>123</v>
      </c>
      <c r="B24" s="14"/>
      <c r="C24" s="17">
        <f>-CF!C23/IS!C6</f>
        <v>7.5221348065208273E-3</v>
      </c>
      <c r="D24" s="17">
        <f>-CF!D23/IS!D6</f>
        <v>8.3874440439608358E-3</v>
      </c>
      <c r="E24" s="17">
        <f>-CF!E23/IS!E6</f>
        <v>1.3171080887616321E-2</v>
      </c>
      <c r="F24" s="17">
        <f>-CF!F23/IS!F6</f>
        <v>1.4448739186453157E-2</v>
      </c>
      <c r="G24" s="17">
        <f>-CF!G23/IS!G6</f>
        <v>1.5807444724321298E-2</v>
      </c>
      <c r="H24" s="102">
        <v>1.6E-2</v>
      </c>
      <c r="I24" s="23">
        <v>1.6E-2</v>
      </c>
      <c r="J24" s="23">
        <v>1.6E-2</v>
      </c>
      <c r="K24" s="23">
        <v>1.6E-2</v>
      </c>
      <c r="L24" s="23">
        <v>1.6E-2</v>
      </c>
    </row>
    <row r="25" spans="1:12" x14ac:dyDescent="0.2">
      <c r="A25" s="1" t="s">
        <v>124</v>
      </c>
      <c r="B25" s="14"/>
      <c r="C25" s="14"/>
      <c r="D25" s="17">
        <f>IS!D17/(BS!C6+BS!C7+BS!C8)</f>
        <v>7.146258863371785E-2</v>
      </c>
      <c r="E25" s="17">
        <f>IS!E17/(BS!D6+BS!D7+BS!D8)</f>
        <v>0.1488420587027266</v>
      </c>
      <c r="F25" s="17">
        <f>IS!F17/(BS!E6+BS!E7+BS!E8)</f>
        <v>9.1349691694790527E-2</v>
      </c>
      <c r="G25" s="17">
        <f>IS!G17/(BS!F6+BS!F7+BS!F8)</f>
        <v>9.0049170764230357E-2</v>
      </c>
      <c r="H25" s="102">
        <v>6.7000000000000004E-2</v>
      </c>
      <c r="I25" s="23">
        <v>6.7000000000000004E-2</v>
      </c>
      <c r="J25" s="23">
        <v>6.7000000000000004E-2</v>
      </c>
      <c r="K25" s="23">
        <v>6.7000000000000004E-2</v>
      </c>
      <c r="L25" s="23">
        <v>6.7000000000000004E-2</v>
      </c>
    </row>
    <row r="26" spans="1:12" x14ac:dyDescent="0.2">
      <c r="A26" s="1" t="s">
        <v>125</v>
      </c>
      <c r="B26" s="14"/>
      <c r="C26" s="14"/>
      <c r="D26" s="17">
        <f>IS!D18/BS!C21</f>
        <v>5.1881622214103029E-2</v>
      </c>
      <c r="E26" s="17">
        <f>IS!E18/BS!D21</f>
        <v>5.6633329316785157E-2</v>
      </c>
      <c r="F26" s="17">
        <f>IS!F18/BS!E21</f>
        <v>4.9766718506998445E-2</v>
      </c>
      <c r="G26" s="17">
        <f>IS!G18/BS!F21</f>
        <v>5.0565212106478664E-2</v>
      </c>
      <c r="H26" s="102">
        <v>0.05</v>
      </c>
      <c r="I26" s="23">
        <v>0.05</v>
      </c>
      <c r="J26" s="23">
        <v>0.05</v>
      </c>
      <c r="K26" s="23">
        <v>0.05</v>
      </c>
      <c r="L26" s="23">
        <v>0.05</v>
      </c>
    </row>
    <row r="27" spans="1:12" x14ac:dyDescent="0.2">
      <c r="A27" s="1" t="s">
        <v>126</v>
      </c>
      <c r="B27" s="14"/>
      <c r="C27" s="17">
        <f>IS!C24/IS!C23</f>
        <v>1.625575724735844E-3</v>
      </c>
      <c r="D27" s="17">
        <f>IS!D24/IS!D23</f>
        <v>5.3924008627841385E-4</v>
      </c>
      <c r="E27" s="17">
        <f>IS!E24/IS!E23</f>
        <v>5.7147211216092655E-4</v>
      </c>
      <c r="F27" s="17">
        <f>IS!F24/IS!F23</f>
        <v>1.3831775700934579E-3</v>
      </c>
      <c r="G27" s="17">
        <f>IS!G24/IS!G23</f>
        <v>1.153559069009975E-3</v>
      </c>
      <c r="H27" s="102">
        <v>1.1999999999999999E-3</v>
      </c>
      <c r="I27" s="23">
        <v>1.1999999999999999E-3</v>
      </c>
      <c r="J27" s="23">
        <v>1.1999999999999999E-3</v>
      </c>
      <c r="K27" s="23">
        <v>1.1999999999999999E-3</v>
      </c>
      <c r="L27" s="23">
        <v>1.1999999999999999E-3</v>
      </c>
    </row>
    <row r="28" spans="1:12" x14ac:dyDescent="0.2">
      <c r="A28" s="1" t="s">
        <v>127</v>
      </c>
      <c r="B28" s="14"/>
      <c r="C28" s="17">
        <f>-CF!C24/IS!C25</f>
        <v>0.57580280416101315</v>
      </c>
      <c r="D28" s="17">
        <f>-CF!D24/IS!D25</f>
        <v>0.56663208134467735</v>
      </c>
      <c r="E28" s="17">
        <f>-CF!E24/IS!E25</f>
        <v>0.56154461937254607</v>
      </c>
      <c r="F28" s="17">
        <f>-CF!F24/IS!F25</f>
        <v>0.75951783775689741</v>
      </c>
      <c r="G28" s="17">
        <f>-CF!G24/IS!G25</f>
        <v>0.63369565217391299</v>
      </c>
      <c r="H28" s="102">
        <v>0.7</v>
      </c>
      <c r="I28" s="23">
        <v>0.7</v>
      </c>
      <c r="J28" s="23">
        <v>0.7</v>
      </c>
      <c r="K28" s="23">
        <v>0.7</v>
      </c>
      <c r="L28" s="23">
        <v>0.7</v>
      </c>
    </row>
    <row r="29" spans="1:12" x14ac:dyDescent="0.2">
      <c r="A29" s="1" t="s">
        <v>128</v>
      </c>
      <c r="B29" s="5"/>
      <c r="C29" s="24">
        <f>-CF!C25</f>
        <v>11125</v>
      </c>
      <c r="D29" s="24">
        <f>-CF!D25</f>
        <v>11499</v>
      </c>
      <c r="E29" s="24">
        <f>-CF!E25</f>
        <v>0</v>
      </c>
      <c r="F29" s="24">
        <f>-CF!F25</f>
        <v>0</v>
      </c>
      <c r="G29" s="24">
        <f>-CF!G25</f>
        <v>18058</v>
      </c>
      <c r="H29" s="103">
        <v>0</v>
      </c>
      <c r="I29" s="25">
        <v>0</v>
      </c>
      <c r="J29" s="25">
        <v>0</v>
      </c>
      <c r="K29" s="25">
        <v>0</v>
      </c>
      <c r="L29" s="25">
        <v>0</v>
      </c>
    </row>
    <row r="30" spans="1:12" x14ac:dyDescent="0.2">
      <c r="A30" s="1" t="s">
        <v>129</v>
      </c>
      <c r="B30" s="5"/>
      <c r="C30" s="24">
        <f>-CF!C18</f>
        <v>53</v>
      </c>
      <c r="D30" s="24">
        <f>-CF!D18</f>
        <v>970</v>
      </c>
      <c r="E30" s="24">
        <f>-CF!E18</f>
        <v>101</v>
      </c>
      <c r="F30" s="24">
        <f>-CF!F18</f>
        <v>3155</v>
      </c>
      <c r="G30" s="24">
        <f>-CF!G18</f>
        <v>650</v>
      </c>
      <c r="H30" s="104">
        <f>Hist!C94+Hist!C95</f>
        <v>5311</v>
      </c>
      <c r="I30" s="25">
        <v>0</v>
      </c>
      <c r="J30" s="25">
        <v>0</v>
      </c>
      <c r="K30" s="25">
        <v>0</v>
      </c>
      <c r="L30" s="25">
        <v>0</v>
      </c>
    </row>
    <row r="31" spans="1:12" x14ac:dyDescent="0.2">
      <c r="A31" s="1" t="s">
        <v>130</v>
      </c>
      <c r="B31" s="6"/>
      <c r="C31" s="26">
        <f>IS!C27</f>
        <v>421.86605609616487</v>
      </c>
      <c r="D31" s="26">
        <f>IS!D27</f>
        <v>418.75217240180746</v>
      </c>
      <c r="E31" s="26">
        <f>IS!E27</f>
        <v>414.48886079949438</v>
      </c>
      <c r="F31" s="26">
        <f>IS!F27</f>
        <v>415.18495492695058</v>
      </c>
      <c r="G31" s="26">
        <f>IS!G27</f>
        <v>411.97872935908202</v>
      </c>
      <c r="H31" s="105">
        <f>Hist!$C$87-H29/DCF!$D$7</f>
        <v>405.26864893062071</v>
      </c>
      <c r="I31" s="26">
        <f>H31-I29/DCF!$D$7</f>
        <v>405.26864893062071</v>
      </c>
      <c r="J31" s="26">
        <f>I31-J29/DCF!$D$7</f>
        <v>405.26864893062071</v>
      </c>
      <c r="K31" s="26">
        <f>J31-K29/DCF!$D$7</f>
        <v>405.26864893062071</v>
      </c>
      <c r="L31" s="26">
        <f>K31-L29/DCF!$D$7</f>
        <v>405.26864893062071</v>
      </c>
    </row>
    <row r="32" spans="1:12" x14ac:dyDescent="0.2">
      <c r="A32" s="75" t="s">
        <v>131</v>
      </c>
      <c r="B32" s="84"/>
      <c r="C32" s="84"/>
      <c r="D32" s="84"/>
      <c r="E32" s="84"/>
      <c r="F32" s="84"/>
      <c r="G32" s="84"/>
      <c r="H32" s="98"/>
      <c r="I32" s="84"/>
      <c r="J32" s="84"/>
      <c r="K32" s="84"/>
      <c r="L32" s="84"/>
    </row>
    <row r="33" spans="1:12" x14ac:dyDescent="0.2">
      <c r="A33" s="80" t="s">
        <v>132</v>
      </c>
      <c r="B33" s="85"/>
      <c r="C33" s="86"/>
      <c r="D33" s="86"/>
      <c r="E33" s="86"/>
      <c r="F33" s="86"/>
      <c r="G33" s="86"/>
      <c r="H33" s="106" t="s">
        <v>102</v>
      </c>
      <c r="I33" s="86" t="s">
        <v>103</v>
      </c>
      <c r="J33" s="86" t="s">
        <v>104</v>
      </c>
      <c r="K33" s="86" t="s">
        <v>105</v>
      </c>
      <c r="L33" s="86" t="s">
        <v>106</v>
      </c>
    </row>
    <row r="34" spans="1:12" x14ac:dyDescent="0.2">
      <c r="A34" s="1" t="s">
        <v>108</v>
      </c>
      <c r="B34" s="14"/>
      <c r="C34" s="14"/>
      <c r="D34" s="14"/>
      <c r="E34" s="14"/>
      <c r="F34" s="14"/>
      <c r="G34" s="14"/>
      <c r="H34" s="102">
        <v>1.4999999999999999E-2</v>
      </c>
      <c r="I34" s="23">
        <v>2.5000000000000001E-2</v>
      </c>
      <c r="J34" s="23">
        <v>3.5000000000000003E-2</v>
      </c>
      <c r="K34" s="23">
        <v>0.04</v>
      </c>
      <c r="L34" s="23">
        <v>0.04</v>
      </c>
    </row>
    <row r="35" spans="1:12" x14ac:dyDescent="0.2">
      <c r="A35" s="1" t="s">
        <v>109</v>
      </c>
      <c r="B35" s="14"/>
      <c r="C35" s="14"/>
      <c r="D35" s="14"/>
      <c r="E35" s="14"/>
      <c r="F35" s="14"/>
      <c r="G35" s="14"/>
      <c r="H35" s="102">
        <v>0.06</v>
      </c>
      <c r="I35" s="23">
        <v>0.01</v>
      </c>
      <c r="J35" s="23">
        <v>0.01</v>
      </c>
      <c r="K35" s="23">
        <v>0.01</v>
      </c>
      <c r="L35" s="23">
        <v>0.01</v>
      </c>
    </row>
    <row r="36" spans="1:12" x14ac:dyDescent="0.2">
      <c r="A36" s="1" t="s">
        <v>110</v>
      </c>
      <c r="B36" s="14"/>
      <c r="C36" s="14"/>
      <c r="D36" s="14"/>
      <c r="E36" s="14"/>
      <c r="F36" s="14"/>
      <c r="G36" s="14"/>
      <c r="H36" s="102">
        <v>0.53500000000000003</v>
      </c>
      <c r="I36" s="23">
        <v>0.53800000000000003</v>
      </c>
      <c r="J36" s="23">
        <v>0.54</v>
      </c>
      <c r="K36" s="23">
        <v>0.54</v>
      </c>
      <c r="L36" s="23">
        <v>0.54</v>
      </c>
    </row>
    <row r="37" spans="1:12" x14ac:dyDescent="0.2">
      <c r="A37" s="1" t="s">
        <v>111</v>
      </c>
      <c r="B37" s="14"/>
      <c r="C37" s="14"/>
      <c r="D37" s="14"/>
      <c r="E37" s="14"/>
      <c r="F37" s="14"/>
      <c r="G37" s="14"/>
      <c r="H37" s="102">
        <v>0.2</v>
      </c>
      <c r="I37" s="23">
        <v>0.19800000000000001</v>
      </c>
      <c r="J37" s="23">
        <v>0.19500000000000001</v>
      </c>
      <c r="K37" s="23">
        <v>0.19500000000000001</v>
      </c>
      <c r="L37" s="23">
        <v>0.19500000000000001</v>
      </c>
    </row>
    <row r="38" spans="1:12" x14ac:dyDescent="0.2">
      <c r="A38" s="1" t="s">
        <v>112</v>
      </c>
      <c r="B38" s="14"/>
      <c r="C38" s="14"/>
      <c r="D38" s="14"/>
      <c r="E38" s="14"/>
      <c r="F38" s="14"/>
      <c r="G38" s="14"/>
      <c r="H38" s="102">
        <v>2.9000000000000001E-2</v>
      </c>
      <c r="I38" s="23">
        <v>2.9000000000000001E-2</v>
      </c>
      <c r="J38" s="23">
        <v>2.9000000000000001E-2</v>
      </c>
      <c r="K38" s="23">
        <v>2.9000000000000001E-2</v>
      </c>
      <c r="L38" s="23">
        <v>2.9000000000000001E-2</v>
      </c>
    </row>
    <row r="39" spans="1:12" x14ac:dyDescent="0.2">
      <c r="A39" s="1" t="s">
        <v>113</v>
      </c>
      <c r="B39" s="14"/>
      <c r="C39" s="14"/>
      <c r="D39" s="14"/>
      <c r="E39" s="14"/>
      <c r="F39" s="14"/>
      <c r="G39" s="14"/>
      <c r="H39" s="102">
        <v>1.7999999999999999E-2</v>
      </c>
      <c r="I39" s="23">
        <v>1.7999999999999999E-2</v>
      </c>
      <c r="J39" s="23">
        <v>1.7999999999999999E-2</v>
      </c>
      <c r="K39" s="23">
        <v>1.7999999999999999E-2</v>
      </c>
      <c r="L39" s="23">
        <v>1.7999999999999999E-2</v>
      </c>
    </row>
    <row r="40" spans="1:12" x14ac:dyDescent="0.2">
      <c r="A40" s="1" t="s">
        <v>114</v>
      </c>
      <c r="B40" s="15"/>
      <c r="C40" s="15"/>
      <c r="D40" s="15"/>
      <c r="E40" s="15"/>
      <c r="F40" s="15"/>
      <c r="G40" s="15"/>
      <c r="H40" s="107">
        <v>76</v>
      </c>
      <c r="I40" s="27">
        <v>76</v>
      </c>
      <c r="J40" s="27">
        <v>76</v>
      </c>
      <c r="K40" s="27">
        <v>76</v>
      </c>
      <c r="L40" s="27">
        <v>76</v>
      </c>
    </row>
    <row r="41" spans="1:12" x14ac:dyDescent="0.2">
      <c r="A41" s="1" t="s">
        <v>115</v>
      </c>
      <c r="B41" s="14"/>
      <c r="C41" s="14"/>
      <c r="D41" s="14"/>
      <c r="E41" s="14"/>
      <c r="F41" s="14"/>
      <c r="G41" s="14"/>
      <c r="H41" s="102">
        <v>0.28499999999999998</v>
      </c>
      <c r="I41" s="23">
        <v>0.28499999999999998</v>
      </c>
      <c r="J41" s="23">
        <v>0.28499999999999998</v>
      </c>
      <c r="K41" s="23">
        <v>0.28499999999999998</v>
      </c>
      <c r="L41" s="23">
        <v>0.28499999999999998</v>
      </c>
    </row>
    <row r="42" spans="1:12" x14ac:dyDescent="0.2">
      <c r="A42" s="1"/>
      <c r="B42" s="5"/>
      <c r="C42" s="5"/>
      <c r="D42" s="5"/>
      <c r="E42" s="5"/>
      <c r="F42" s="5"/>
      <c r="G42" s="5"/>
      <c r="H42" s="97"/>
      <c r="I42" s="5"/>
      <c r="J42" s="5"/>
      <c r="K42" s="5"/>
      <c r="L42" s="5"/>
    </row>
    <row r="43" spans="1:12" x14ac:dyDescent="0.2">
      <c r="A43" s="75" t="s">
        <v>133</v>
      </c>
      <c r="B43" s="84"/>
      <c r="C43" s="84"/>
      <c r="D43" s="84"/>
      <c r="E43" s="84"/>
      <c r="F43" s="84"/>
      <c r="G43" s="84"/>
      <c r="H43" s="98"/>
      <c r="I43" s="84"/>
      <c r="J43" s="84"/>
      <c r="K43" s="84"/>
      <c r="L43" s="84"/>
    </row>
    <row r="44" spans="1:12" x14ac:dyDescent="0.2">
      <c r="A44" s="80" t="s">
        <v>132</v>
      </c>
      <c r="B44" s="85"/>
      <c r="C44" s="86"/>
      <c r="D44" s="86"/>
      <c r="E44" s="86"/>
      <c r="F44" s="86"/>
      <c r="G44" s="86"/>
      <c r="H44" s="106" t="s">
        <v>102</v>
      </c>
      <c r="I44" s="86" t="s">
        <v>103</v>
      </c>
      <c r="J44" s="86" t="s">
        <v>104</v>
      </c>
      <c r="K44" s="86" t="s">
        <v>105</v>
      </c>
      <c r="L44" s="86" t="s">
        <v>106</v>
      </c>
    </row>
    <row r="45" spans="1:12" x14ac:dyDescent="0.2">
      <c r="A45" s="1" t="s">
        <v>108</v>
      </c>
      <c r="B45" s="14"/>
      <c r="C45" s="14"/>
      <c r="D45" s="14"/>
      <c r="E45" s="14"/>
      <c r="F45" s="14"/>
      <c r="G45" s="14"/>
      <c r="H45" s="102">
        <v>2.5000000000000001E-2</v>
      </c>
      <c r="I45" s="23">
        <v>0.05</v>
      </c>
      <c r="J45" s="23">
        <v>0.06</v>
      </c>
      <c r="K45" s="23">
        <v>0.06</v>
      </c>
      <c r="L45" s="23">
        <v>5.5E-2</v>
      </c>
    </row>
    <row r="46" spans="1:12" x14ac:dyDescent="0.2">
      <c r="A46" s="1" t="s">
        <v>109</v>
      </c>
      <c r="B46" s="14"/>
      <c r="C46" s="14"/>
      <c r="D46" s="14"/>
      <c r="E46" s="14"/>
      <c r="F46" s="14"/>
      <c r="G46" s="14"/>
      <c r="H46" s="102">
        <v>7.0000000000000007E-2</v>
      </c>
      <c r="I46" s="23">
        <v>2.5000000000000001E-2</v>
      </c>
      <c r="J46" s="23">
        <v>2.5000000000000001E-2</v>
      </c>
      <c r="K46" s="23">
        <v>2.5000000000000001E-2</v>
      </c>
      <c r="L46" s="23">
        <v>2.5000000000000001E-2</v>
      </c>
    </row>
    <row r="47" spans="1:12" x14ac:dyDescent="0.2">
      <c r="A47" s="1" t="s">
        <v>110</v>
      </c>
      <c r="B47" s="14"/>
      <c r="C47" s="14"/>
      <c r="D47" s="14"/>
      <c r="E47" s="14"/>
      <c r="F47" s="14"/>
      <c r="G47" s="14"/>
      <c r="H47" s="102">
        <v>0.53</v>
      </c>
      <c r="I47" s="23">
        <v>0.52800000000000002</v>
      </c>
      <c r="J47" s="23">
        <v>0.52600000000000002</v>
      </c>
      <c r="K47" s="23">
        <v>0.52500000000000002</v>
      </c>
      <c r="L47" s="23">
        <v>0.52500000000000002</v>
      </c>
    </row>
    <row r="48" spans="1:12" x14ac:dyDescent="0.2">
      <c r="A48" s="1" t="s">
        <v>111</v>
      </c>
      <c r="B48" s="14"/>
      <c r="C48" s="14"/>
      <c r="D48" s="14"/>
      <c r="E48" s="14"/>
      <c r="F48" s="14"/>
      <c r="G48" s="14"/>
      <c r="H48" s="102">
        <v>0.21</v>
      </c>
      <c r="I48" s="23">
        <v>0.21</v>
      </c>
      <c r="J48" s="23">
        <v>0.21199999999999999</v>
      </c>
      <c r="K48" s="23">
        <v>0.21299999999999999</v>
      </c>
      <c r="L48" s="23">
        <v>0.21299999999999999</v>
      </c>
    </row>
    <row r="49" spans="1:12" x14ac:dyDescent="0.2">
      <c r="A49" s="1" t="s">
        <v>112</v>
      </c>
      <c r="B49" s="14"/>
      <c r="C49" s="14"/>
      <c r="D49" s="14"/>
      <c r="E49" s="14"/>
      <c r="F49" s="14"/>
      <c r="G49" s="14"/>
      <c r="H49" s="102">
        <v>2.8000000000000001E-2</v>
      </c>
      <c r="I49" s="23">
        <v>2.8000000000000001E-2</v>
      </c>
      <c r="J49" s="23">
        <v>2.8000000000000001E-2</v>
      </c>
      <c r="K49" s="23">
        <v>2.8000000000000001E-2</v>
      </c>
      <c r="L49" s="23">
        <v>2.8000000000000001E-2</v>
      </c>
    </row>
    <row r="50" spans="1:12" x14ac:dyDescent="0.2">
      <c r="A50" s="1" t="s">
        <v>113</v>
      </c>
      <c r="B50" s="14"/>
      <c r="C50" s="14"/>
      <c r="D50" s="14"/>
      <c r="E50" s="14"/>
      <c r="F50" s="14"/>
      <c r="G50" s="14"/>
      <c r="H50" s="102">
        <v>1.6E-2</v>
      </c>
      <c r="I50" s="23">
        <v>1.6E-2</v>
      </c>
      <c r="J50" s="23">
        <v>1.6E-2</v>
      </c>
      <c r="K50" s="23">
        <v>1.6E-2</v>
      </c>
      <c r="L50" s="23">
        <v>1.6E-2</v>
      </c>
    </row>
    <row r="51" spans="1:12" x14ac:dyDescent="0.2">
      <c r="A51" s="1" t="s">
        <v>114</v>
      </c>
      <c r="B51" s="15"/>
      <c r="C51" s="15"/>
      <c r="D51" s="15"/>
      <c r="E51" s="15"/>
      <c r="F51" s="15"/>
      <c r="G51" s="15"/>
      <c r="H51" s="107">
        <v>72</v>
      </c>
      <c r="I51" s="27">
        <v>72</v>
      </c>
      <c r="J51" s="27">
        <v>72</v>
      </c>
      <c r="K51" s="27">
        <v>72</v>
      </c>
      <c r="L51" s="27">
        <v>72</v>
      </c>
    </row>
    <row r="52" spans="1:12" x14ac:dyDescent="0.2">
      <c r="A52" s="1" t="s">
        <v>115</v>
      </c>
      <c r="B52" s="14"/>
      <c r="C52" s="14"/>
      <c r="D52" s="14"/>
      <c r="E52" s="14"/>
      <c r="F52" s="14"/>
      <c r="G52" s="14"/>
      <c r="H52" s="102">
        <v>0.27500000000000002</v>
      </c>
      <c r="I52" s="23">
        <v>0.27500000000000002</v>
      </c>
      <c r="J52" s="23">
        <v>0.27500000000000002</v>
      </c>
      <c r="K52" s="23">
        <v>0.27500000000000002</v>
      </c>
      <c r="L52" s="23">
        <v>0.27500000000000002</v>
      </c>
    </row>
    <row r="53" spans="1:12" x14ac:dyDescent="0.2">
      <c r="A53" s="1"/>
      <c r="B53" s="5"/>
      <c r="C53" s="5"/>
      <c r="D53" s="5"/>
      <c r="E53" s="5"/>
      <c r="F53" s="5"/>
      <c r="G53" s="5"/>
      <c r="H53" s="97"/>
      <c r="I53" s="5"/>
      <c r="J53" s="5"/>
      <c r="K53" s="5"/>
      <c r="L53" s="5"/>
    </row>
    <row r="54" spans="1:12" x14ac:dyDescent="0.2">
      <c r="A54" s="75" t="s">
        <v>134</v>
      </c>
      <c r="B54" s="84"/>
      <c r="C54" s="84"/>
      <c r="D54" s="84"/>
      <c r="E54" s="84"/>
      <c r="F54" s="84"/>
      <c r="G54" s="84"/>
      <c r="H54" s="98"/>
      <c r="I54" s="84"/>
      <c r="J54" s="84"/>
      <c r="K54" s="84"/>
      <c r="L54" s="84"/>
    </row>
    <row r="55" spans="1:12" x14ac:dyDescent="0.2">
      <c r="A55" s="80" t="s">
        <v>132</v>
      </c>
      <c r="B55" s="85"/>
      <c r="C55" s="86"/>
      <c r="D55" s="86"/>
      <c r="E55" s="86"/>
      <c r="F55" s="86"/>
      <c r="G55" s="86"/>
      <c r="H55" s="106" t="s">
        <v>102</v>
      </c>
      <c r="I55" s="86" t="s">
        <v>103</v>
      </c>
      <c r="J55" s="86" t="s">
        <v>104</v>
      </c>
      <c r="K55" s="86" t="s">
        <v>105</v>
      </c>
      <c r="L55" s="86" t="s">
        <v>106</v>
      </c>
    </row>
    <row r="56" spans="1:12" x14ac:dyDescent="0.2">
      <c r="A56" s="1" t="s">
        <v>108</v>
      </c>
      <c r="B56" s="14"/>
      <c r="C56" s="14"/>
      <c r="D56" s="14"/>
      <c r="E56" s="14"/>
      <c r="F56" s="14"/>
      <c r="G56" s="14"/>
      <c r="H56" s="102">
        <v>0.03</v>
      </c>
      <c r="I56" s="23">
        <v>7.0000000000000007E-2</v>
      </c>
      <c r="J56" s="23">
        <v>0.08</v>
      </c>
      <c r="K56" s="23">
        <v>0.08</v>
      </c>
      <c r="L56" s="23">
        <v>7.4999999999999997E-2</v>
      </c>
    </row>
    <row r="57" spans="1:12" x14ac:dyDescent="0.2">
      <c r="A57" s="1" t="s">
        <v>109</v>
      </c>
      <c r="B57" s="14"/>
      <c r="C57" s="14"/>
      <c r="D57" s="14"/>
      <c r="E57" s="14"/>
      <c r="F57" s="14"/>
      <c r="G57" s="14"/>
      <c r="H57" s="102">
        <v>0.08</v>
      </c>
      <c r="I57" s="23">
        <v>0.03</v>
      </c>
      <c r="J57" s="23">
        <v>0.03</v>
      </c>
      <c r="K57" s="23">
        <v>0.03</v>
      </c>
      <c r="L57" s="23">
        <v>0.03</v>
      </c>
    </row>
    <row r="58" spans="1:12" x14ac:dyDescent="0.2">
      <c r="A58" s="1" t="s">
        <v>110</v>
      </c>
      <c r="B58" s="14"/>
      <c r="C58" s="14"/>
      <c r="D58" s="14"/>
      <c r="E58" s="14"/>
      <c r="F58" s="14"/>
      <c r="G58" s="14"/>
      <c r="H58" s="102">
        <v>0.52500000000000002</v>
      </c>
      <c r="I58" s="23">
        <v>0.52200000000000002</v>
      </c>
      <c r="J58" s="23">
        <v>0.52</v>
      </c>
      <c r="K58" s="23">
        <v>0.51800000000000002</v>
      </c>
      <c r="L58" s="23">
        <v>0.51500000000000001</v>
      </c>
    </row>
    <row r="59" spans="1:12" x14ac:dyDescent="0.2">
      <c r="A59" s="1" t="s">
        <v>111</v>
      </c>
      <c r="B59" s="14"/>
      <c r="C59" s="14"/>
      <c r="D59" s="14"/>
      <c r="E59" s="14"/>
      <c r="F59" s="14"/>
      <c r="G59" s="14"/>
      <c r="H59" s="102">
        <v>0.215</v>
      </c>
      <c r="I59" s="23">
        <v>0.218</v>
      </c>
      <c r="J59" s="23">
        <v>0.22</v>
      </c>
      <c r="K59" s="23">
        <v>0.22</v>
      </c>
      <c r="L59" s="23">
        <v>0.22</v>
      </c>
    </row>
    <row r="60" spans="1:12" x14ac:dyDescent="0.2">
      <c r="A60" s="1" t="s">
        <v>112</v>
      </c>
      <c r="B60" s="14"/>
      <c r="C60" s="14"/>
      <c r="D60" s="14"/>
      <c r="E60" s="14"/>
      <c r="F60" s="14"/>
      <c r="G60" s="14"/>
      <c r="H60" s="102">
        <v>2.7E-2</v>
      </c>
      <c r="I60" s="23">
        <v>2.7E-2</v>
      </c>
      <c r="J60" s="23">
        <v>2.7E-2</v>
      </c>
      <c r="K60" s="23">
        <v>2.7E-2</v>
      </c>
      <c r="L60" s="23">
        <v>2.7E-2</v>
      </c>
    </row>
    <row r="61" spans="1:12" x14ac:dyDescent="0.2">
      <c r="A61" s="1" t="s">
        <v>113</v>
      </c>
      <c r="B61" s="14"/>
      <c r="C61" s="14"/>
      <c r="D61" s="14"/>
      <c r="E61" s="14"/>
      <c r="F61" s="14"/>
      <c r="G61" s="14"/>
      <c r="H61" s="102">
        <v>1.4999999999999999E-2</v>
      </c>
      <c r="I61" s="23">
        <v>1.4999999999999999E-2</v>
      </c>
      <c r="J61" s="23">
        <v>1.4999999999999999E-2</v>
      </c>
      <c r="K61" s="23">
        <v>1.4999999999999999E-2</v>
      </c>
      <c r="L61" s="23">
        <v>1.4999999999999999E-2</v>
      </c>
    </row>
    <row r="62" spans="1:12" x14ac:dyDescent="0.2">
      <c r="A62" s="1" t="s">
        <v>114</v>
      </c>
      <c r="B62" s="15"/>
      <c r="C62" s="15"/>
      <c r="D62" s="15"/>
      <c r="E62" s="15"/>
      <c r="F62" s="15"/>
      <c r="G62" s="15"/>
      <c r="H62" s="107">
        <v>70</v>
      </c>
      <c r="I62" s="27">
        <v>70</v>
      </c>
      <c r="J62" s="27">
        <v>70</v>
      </c>
      <c r="K62" s="27">
        <v>70</v>
      </c>
      <c r="L62" s="27">
        <v>70</v>
      </c>
    </row>
    <row r="63" spans="1:12" x14ac:dyDescent="0.2">
      <c r="A63" s="1" t="s">
        <v>115</v>
      </c>
      <c r="B63" s="14"/>
      <c r="C63" s="14"/>
      <c r="D63" s="14"/>
      <c r="E63" s="14"/>
      <c r="F63" s="14"/>
      <c r="G63" s="14"/>
      <c r="H63" s="102">
        <v>0.26500000000000001</v>
      </c>
      <c r="I63" s="23">
        <v>0.26500000000000001</v>
      </c>
      <c r="J63" s="23">
        <v>0.26500000000000001</v>
      </c>
      <c r="K63" s="23">
        <v>0.26500000000000001</v>
      </c>
      <c r="L63" s="23">
        <v>0.26500000000000001</v>
      </c>
    </row>
  </sheetData>
  <dataValidations count="1">
    <dataValidation type="whole" allowBlank="1" showInputMessage="1" showErrorMessage="1" sqref="D4" xr:uid="{25AF6A5E-E8FD-8847-9BC3-4D85BD09E1F0}">
      <formula1>1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A535-6D37-E845-9321-AC452AA7CFC1}">
  <sheetPr>
    <tabColor rgb="FF00B0AB"/>
  </sheetPr>
  <dimension ref="A1:L30"/>
  <sheetViews>
    <sheetView showGridLines="0"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55" customWidth="1"/>
    <col min="2" max="2" width="2" customWidth="1"/>
    <col min="3" max="12" width="12.33203125" customWidth="1"/>
  </cols>
  <sheetData>
    <row r="1" spans="1:12" ht="18" x14ac:dyDescent="0.2">
      <c r="A1" s="79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74" t="str">
        <f>"₹ crore unless stated  |  Ind AS  |  FY ends 31 March  |  Forecast case: "&amp;Assumptions!$E$4</f>
        <v>₹ crore unless stated  |  Ind AS  |  FY ends 31 March  |  Forecast case: Base case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80" t="s">
        <v>2</v>
      </c>
      <c r="B4" s="80"/>
      <c r="C4" s="81" t="s">
        <v>3</v>
      </c>
      <c r="D4" s="81" t="s">
        <v>4</v>
      </c>
      <c r="E4" s="81" t="s">
        <v>5</v>
      </c>
      <c r="F4" s="81" t="s">
        <v>6</v>
      </c>
      <c r="G4" s="81" t="s">
        <v>7</v>
      </c>
      <c r="H4" s="108" t="s">
        <v>102</v>
      </c>
      <c r="I4" s="81" t="s">
        <v>103</v>
      </c>
      <c r="J4" s="81" t="s">
        <v>104</v>
      </c>
      <c r="K4" s="81" t="s">
        <v>105</v>
      </c>
      <c r="L4" s="81" t="s">
        <v>106</v>
      </c>
    </row>
    <row r="5" spans="1:12" x14ac:dyDescent="0.2">
      <c r="A5" s="1"/>
      <c r="B5" s="5"/>
      <c r="C5" s="5"/>
      <c r="D5" s="5"/>
      <c r="E5" s="5"/>
      <c r="F5" s="5"/>
      <c r="G5" s="5"/>
      <c r="H5" s="97"/>
      <c r="I5" s="5"/>
      <c r="J5" s="5"/>
      <c r="K5" s="5"/>
      <c r="L5" s="5"/>
    </row>
    <row r="6" spans="1:12" x14ac:dyDescent="0.2">
      <c r="A6" s="3" t="s">
        <v>9</v>
      </c>
      <c r="B6" s="29"/>
      <c r="C6" s="31">
        <f>Hist!C6</f>
        <v>121641</v>
      </c>
      <c r="D6" s="31">
        <f>Hist!D6</f>
        <v>146767</v>
      </c>
      <c r="E6" s="31">
        <f>Hist!E6</f>
        <v>153670</v>
      </c>
      <c r="F6" s="31">
        <f>Hist!F6</f>
        <v>162990</v>
      </c>
      <c r="G6" s="31">
        <f>Hist!G6</f>
        <v>178650</v>
      </c>
      <c r="H6" s="109">
        <f>G6*(1+Assumptions!H10)</f>
        <v>195934.38749999998</v>
      </c>
      <c r="I6" s="31">
        <f>H6*(1+Assumptions!I10)</f>
        <v>210874.38454687496</v>
      </c>
      <c r="J6" s="31">
        <f>I6*(1+Assumptions!J10)</f>
        <v>229115.01881017967</v>
      </c>
      <c r="K6" s="31">
        <f>J6*(1+Assumptions!K10)</f>
        <v>248933.46793726023</v>
      </c>
      <c r="L6" s="31">
        <f>K6*(1+Assumptions!L10)</f>
        <v>269190.4288906547</v>
      </c>
    </row>
    <row r="7" spans="1:12" x14ac:dyDescent="0.2">
      <c r="A7" s="2" t="s">
        <v>136</v>
      </c>
      <c r="B7" s="14"/>
      <c r="C7" s="14"/>
      <c r="D7" s="18">
        <f>D6/C6-1</f>
        <v>0.20655864387829759</v>
      </c>
      <c r="E7" s="18">
        <f>E6/D6-1</f>
        <v>4.7033733741236095E-2</v>
      </c>
      <c r="F7" s="18">
        <f>F6/E6-1</f>
        <v>6.0649443612936782E-2</v>
      </c>
      <c r="G7" s="18">
        <f>G6/F6-1</f>
        <v>9.6079514080618544E-2</v>
      </c>
      <c r="H7" s="99">
        <f>H6/G6-1</f>
        <v>9.6749999999999892E-2</v>
      </c>
      <c r="I7" s="18">
        <f>I6/H6-1</f>
        <v>7.6249999999999929E-2</v>
      </c>
      <c r="J7" s="18">
        <f>J6/I6-1</f>
        <v>8.6500000000000021E-2</v>
      </c>
      <c r="K7" s="18">
        <f>K6/J6-1</f>
        <v>8.6500000000000021E-2</v>
      </c>
      <c r="L7" s="18">
        <f>L6/K6-1</f>
        <v>8.1374999999999753E-2</v>
      </c>
    </row>
    <row r="8" spans="1:12" x14ac:dyDescent="0.2">
      <c r="A8" s="1" t="s">
        <v>10</v>
      </c>
      <c r="B8" s="5"/>
      <c r="C8" s="24">
        <f>Hist!C7</f>
        <v>63986</v>
      </c>
      <c r="D8" s="24">
        <f>Hist!D7</f>
        <v>78359</v>
      </c>
      <c r="E8" s="24">
        <f>Hist!E7</f>
        <v>82620</v>
      </c>
      <c r="F8" s="24">
        <f>Hist!F7</f>
        <v>85950</v>
      </c>
      <c r="G8" s="24">
        <f>Hist!G7</f>
        <v>95094</v>
      </c>
      <c r="H8" s="104">
        <f>H6*Assumptions!H11</f>
        <v>103845.22537499999</v>
      </c>
      <c r="I8" s="24">
        <f>I6*Assumptions!I11</f>
        <v>111341.67504074999</v>
      </c>
      <c r="J8" s="24">
        <f>J6*Assumptions!J11</f>
        <v>120514.49989415451</v>
      </c>
      <c r="K8" s="24">
        <f>K6*Assumptions!K11</f>
        <v>130690.07066706162</v>
      </c>
      <c r="L8" s="24">
        <f>L6*Assumptions!L11</f>
        <v>141324.97516759372</v>
      </c>
    </row>
    <row r="9" spans="1:12" x14ac:dyDescent="0.2">
      <c r="A9" s="2" t="s">
        <v>137</v>
      </c>
      <c r="B9" s="14"/>
      <c r="C9" s="18">
        <f>C8/C6</f>
        <v>0.52602329806561932</v>
      </c>
      <c r="D9" s="18">
        <f>D8/D6</f>
        <v>0.53390067249449813</v>
      </c>
      <c r="E9" s="18">
        <f>E8/E6</f>
        <v>0.53764560421682828</v>
      </c>
      <c r="F9" s="18">
        <f>F8/F6</f>
        <v>0.52733296521258977</v>
      </c>
      <c r="G9" s="18">
        <f>G8/G6</f>
        <v>0.53229219143576822</v>
      </c>
      <c r="H9" s="99">
        <f>H8/H6</f>
        <v>0.53</v>
      </c>
      <c r="I9" s="18">
        <f>I8/I6</f>
        <v>0.52800000000000002</v>
      </c>
      <c r="J9" s="18">
        <f>J8/J6</f>
        <v>0.52600000000000002</v>
      </c>
      <c r="K9" s="18">
        <f>K8/K6</f>
        <v>0.52500000000000002</v>
      </c>
      <c r="L9" s="18">
        <f>L8/L6</f>
        <v>0.52500000000000002</v>
      </c>
    </row>
    <row r="10" spans="1:12" x14ac:dyDescent="0.2">
      <c r="A10" s="1" t="s">
        <v>138</v>
      </c>
      <c r="B10" s="5"/>
      <c r="C10" s="24">
        <f>SUM(Hist!C8:C13)</f>
        <v>26164</v>
      </c>
      <c r="D10" s="24">
        <f>SUM(Hist!D8:D13)</f>
        <v>33278</v>
      </c>
      <c r="E10" s="24">
        <f>SUM(Hist!E8:E13)</f>
        <v>34625</v>
      </c>
      <c r="F10" s="24">
        <f>SUM(Hist!F8:F13)</f>
        <v>37804</v>
      </c>
      <c r="G10" s="24">
        <f>SUM(Hist!G8:G13)</f>
        <v>41276</v>
      </c>
      <c r="H10" s="104">
        <f>H6*(1-Assumptions!H11-Assumptions!H12-Assumptions!H13)</f>
        <v>45456.777900000001</v>
      </c>
      <c r="I10" s="24">
        <f>I6*(1-Assumptions!I11-Assumptions!I12-Assumptions!I13)</f>
        <v>49344.605983968744</v>
      </c>
      <c r="J10" s="24">
        <f>J6*(1-Assumptions!J11-Assumptions!J12-Assumptions!J13)</f>
        <v>53612.914401582042</v>
      </c>
      <c r="K10" s="24">
        <f>K6*(1-Assumptions!K11-Assumptions!K12-Assumptions!K13)</f>
        <v>58250.431497318896</v>
      </c>
      <c r="L10" s="24">
        <f>L6*(1-Assumptions!L11-Assumptions!L12-Assumptions!L13)</f>
        <v>62990.560360413205</v>
      </c>
    </row>
    <row r="11" spans="1:12" x14ac:dyDescent="0.2">
      <c r="A11" s="2" t="s">
        <v>137</v>
      </c>
      <c r="B11" s="14"/>
      <c r="C11" s="18">
        <f>C10/C6</f>
        <v>0.21509195090471139</v>
      </c>
      <c r="D11" s="18">
        <f>D10/D6</f>
        <v>0.22674034353771624</v>
      </c>
      <c r="E11" s="18">
        <f>E10/E6</f>
        <v>0.22532049196329798</v>
      </c>
      <c r="F11" s="18">
        <f>F10/F6</f>
        <v>0.23194060985336523</v>
      </c>
      <c r="G11" s="18">
        <f>G10/G6</f>
        <v>0.23104394066610692</v>
      </c>
      <c r="H11" s="99">
        <f>H10/H6</f>
        <v>0.23200000000000001</v>
      </c>
      <c r="I11" s="18">
        <f>I10/I6</f>
        <v>0.23400000000000001</v>
      </c>
      <c r="J11" s="18">
        <f>J10/J6</f>
        <v>0.23400000000000001</v>
      </c>
      <c r="K11" s="18">
        <f>K10/K6</f>
        <v>0.23400000000000001</v>
      </c>
      <c r="L11" s="18">
        <f>L10/L6</f>
        <v>0.23400000000000001</v>
      </c>
    </row>
    <row r="12" spans="1:12" x14ac:dyDescent="0.2">
      <c r="A12" s="3" t="s">
        <v>139</v>
      </c>
      <c r="B12" s="29"/>
      <c r="C12" s="32">
        <f>C6-C8-C10</f>
        <v>31491</v>
      </c>
      <c r="D12" s="32">
        <f>D6-D8-D10</f>
        <v>35130</v>
      </c>
      <c r="E12" s="32">
        <f>E6-E8-E10</f>
        <v>36425</v>
      </c>
      <c r="F12" s="32">
        <f>F6-F8-F10</f>
        <v>39236</v>
      </c>
      <c r="G12" s="32">
        <f>G6-G8-G10</f>
        <v>42280</v>
      </c>
      <c r="H12" s="110">
        <f>H6-H8-H10</f>
        <v>46632.384224999987</v>
      </c>
      <c r="I12" s="32">
        <f>I6-I8-I10</f>
        <v>50188.103522156227</v>
      </c>
      <c r="J12" s="32">
        <f>J6-J8-J10</f>
        <v>54987.604514443119</v>
      </c>
      <c r="K12" s="32">
        <f>K6-K8-K10</f>
        <v>59992.96577287971</v>
      </c>
      <c r="L12" s="32">
        <f>L6-L8-L10</f>
        <v>64874.893362647781</v>
      </c>
    </row>
    <row r="13" spans="1:12" x14ac:dyDescent="0.2">
      <c r="A13" s="2" t="s">
        <v>140</v>
      </c>
      <c r="B13" s="14"/>
      <c r="C13" s="18">
        <f>C12/C6</f>
        <v>0.25888475102966929</v>
      </c>
      <c r="D13" s="18">
        <f>D12/D6</f>
        <v>0.23935898396778568</v>
      </c>
      <c r="E13" s="18">
        <f>E12/E6</f>
        <v>0.23703390381987374</v>
      </c>
      <c r="F13" s="18">
        <f>F12/F6</f>
        <v>0.24072642493404503</v>
      </c>
      <c r="G13" s="18">
        <f>G12/G6</f>
        <v>0.23666386789812482</v>
      </c>
      <c r="H13" s="99">
        <f>H12/H6</f>
        <v>0.23799999999999996</v>
      </c>
      <c r="I13" s="18">
        <f>I12/I6</f>
        <v>0.23799999999999993</v>
      </c>
      <c r="J13" s="18">
        <f>J12/J6</f>
        <v>0.24</v>
      </c>
      <c r="K13" s="18">
        <f>K12/K6</f>
        <v>0.24099999999999999</v>
      </c>
      <c r="L13" s="18">
        <f>L12/L6</f>
        <v>0.24099999999999999</v>
      </c>
    </row>
    <row r="14" spans="1:12" x14ac:dyDescent="0.2">
      <c r="A14" s="1" t="s">
        <v>17</v>
      </c>
      <c r="B14" s="5"/>
      <c r="C14" s="24">
        <f>Hist!C14</f>
        <v>3476</v>
      </c>
      <c r="D14" s="24">
        <f>Hist!D14</f>
        <v>4225</v>
      </c>
      <c r="E14" s="24">
        <f>Hist!E14</f>
        <v>4678</v>
      </c>
      <c r="F14" s="24">
        <f>Hist!F14</f>
        <v>4812</v>
      </c>
      <c r="G14" s="24">
        <f>Hist!G14</f>
        <v>4902</v>
      </c>
      <c r="H14" s="104">
        <f>H6*Assumptions!H13</f>
        <v>5486.1628499999997</v>
      </c>
      <c r="I14" s="24">
        <f>I6*Assumptions!I13</f>
        <v>5904.4827673124992</v>
      </c>
      <c r="J14" s="24">
        <f>J6*Assumptions!J13</f>
        <v>6415.2205266850306</v>
      </c>
      <c r="K14" s="24">
        <f>K6*Assumptions!K13</f>
        <v>6970.1371022432868</v>
      </c>
      <c r="L14" s="24">
        <f>L6*Assumptions!L13</f>
        <v>7537.3320089383315</v>
      </c>
    </row>
    <row r="15" spans="1:12" x14ac:dyDescent="0.2">
      <c r="A15" s="3" t="s">
        <v>141</v>
      </c>
      <c r="B15" s="29"/>
      <c r="C15" s="32">
        <f>C12-C14</f>
        <v>28015</v>
      </c>
      <c r="D15" s="32">
        <f>D12-D14</f>
        <v>30905</v>
      </c>
      <c r="E15" s="32">
        <f>E12-E14</f>
        <v>31747</v>
      </c>
      <c r="F15" s="32">
        <f>F12-F14</f>
        <v>34424</v>
      </c>
      <c r="G15" s="32">
        <f>G12-G14</f>
        <v>37378</v>
      </c>
      <c r="H15" s="110">
        <f>H12-H14</f>
        <v>41146.221374999986</v>
      </c>
      <c r="I15" s="32">
        <f>I12-I14</f>
        <v>44283.620754843731</v>
      </c>
      <c r="J15" s="32">
        <f>J12-J14</f>
        <v>48572.38398775809</v>
      </c>
      <c r="K15" s="32">
        <f>K12-K14</f>
        <v>53022.828670636423</v>
      </c>
      <c r="L15" s="32">
        <f>L12-L14</f>
        <v>57337.561353709447</v>
      </c>
    </row>
    <row r="16" spans="1:12" x14ac:dyDescent="0.2">
      <c r="A16" s="2" t="s">
        <v>142</v>
      </c>
      <c r="B16" s="14"/>
      <c r="C16" s="18">
        <f>C15/C6</f>
        <v>0.23030885967724699</v>
      </c>
      <c r="D16" s="18">
        <f>D15/D6</f>
        <v>0.21057185879659596</v>
      </c>
      <c r="E16" s="18">
        <f>E15/E6</f>
        <v>0.20659204789483959</v>
      </c>
      <c r="F16" s="18">
        <f>F15/F6</f>
        <v>0.21120314129701209</v>
      </c>
      <c r="G16" s="18">
        <f>G15/G6</f>
        <v>0.20922474111390987</v>
      </c>
      <c r="H16" s="99">
        <f>H15/H6</f>
        <v>0.20999999999999994</v>
      </c>
      <c r="I16" s="18">
        <f>I15/I6</f>
        <v>0.20999999999999994</v>
      </c>
      <c r="J16" s="18">
        <f>J15/J6</f>
        <v>0.21199999999999999</v>
      </c>
      <c r="K16" s="18">
        <f>K15/K6</f>
        <v>0.21299999999999997</v>
      </c>
      <c r="L16" s="18">
        <f>L15/L6</f>
        <v>0.21299999999999999</v>
      </c>
    </row>
    <row r="17" spans="1:12" x14ac:dyDescent="0.2">
      <c r="A17" s="1" t="s">
        <v>18</v>
      </c>
      <c r="B17" s="5"/>
      <c r="C17" s="24">
        <f>Hist!C15</f>
        <v>2295</v>
      </c>
      <c r="D17" s="24">
        <f>Hist!D15</f>
        <v>2701</v>
      </c>
      <c r="E17" s="24">
        <f>Hist!E15</f>
        <v>4711</v>
      </c>
      <c r="F17" s="24">
        <f>Hist!F15</f>
        <v>3600</v>
      </c>
      <c r="G17" s="24">
        <f>Hist!G15</f>
        <v>4322</v>
      </c>
      <c r="H17" s="104">
        <f>(BS!G6+BS!G7+BS!G8)*Assumptions!H25</f>
        <v>2953.4270000000001</v>
      </c>
      <c r="I17" s="24">
        <f>(BS!H6+BS!H7+BS!H8)*Assumptions!I25</f>
        <v>3111.2632655906077</v>
      </c>
      <c r="J17" s="24">
        <f>(BS!I6+BS!I7+BS!I8)*Assumptions!J25</f>
        <v>3689.3647145541609</v>
      </c>
      <c r="K17" s="24">
        <f>(BS!J6+BS!J7+BS!J8)*Assumptions!K25</f>
        <v>4311.4997701676593</v>
      </c>
      <c r="L17" s="24">
        <f>(BS!K6+BS!K7+BS!K8)*Assumptions!L25</f>
        <v>4995.5151522750994</v>
      </c>
    </row>
    <row r="18" spans="1:12" x14ac:dyDescent="0.2">
      <c r="A18" s="1" t="s">
        <v>19</v>
      </c>
      <c r="B18" s="5"/>
      <c r="C18" s="24">
        <f>Hist!C16</f>
        <v>200</v>
      </c>
      <c r="D18" s="24">
        <f>Hist!D16</f>
        <v>284</v>
      </c>
      <c r="E18" s="24">
        <f>Hist!E16</f>
        <v>470</v>
      </c>
      <c r="F18" s="24">
        <f>Hist!F16</f>
        <v>416</v>
      </c>
      <c r="G18" s="24">
        <f>Hist!G16</f>
        <v>416</v>
      </c>
      <c r="H18" s="104">
        <f>BS!G21*Assumptions!H26</f>
        <v>458.8</v>
      </c>
      <c r="I18" s="24">
        <f>BS!H21*Assumptions!I26</f>
        <v>499.63268812499996</v>
      </c>
      <c r="J18" s="24">
        <f>BS!I21*Assumptions!J26</f>
        <v>537.72968059453115</v>
      </c>
      <c r="K18" s="24">
        <f>BS!J21*Assumptions!K26</f>
        <v>584.24329796595816</v>
      </c>
      <c r="L18" s="24">
        <f>BS!K21*Assumptions!L26</f>
        <v>634.78034324001362</v>
      </c>
    </row>
    <row r="19" spans="1:12" x14ac:dyDescent="0.2">
      <c r="A19" s="1" t="s">
        <v>143</v>
      </c>
      <c r="B19" s="5"/>
      <c r="C19" s="24">
        <f>Hist!C17</f>
        <v>0</v>
      </c>
      <c r="D19" s="24">
        <f>Hist!D17</f>
        <v>0</v>
      </c>
      <c r="E19" s="24">
        <f>Hist!E17</f>
        <v>0</v>
      </c>
      <c r="F19" s="24">
        <f>Hist!F17</f>
        <v>0</v>
      </c>
      <c r="G19" s="24">
        <f>Hist!G17</f>
        <v>1289</v>
      </c>
      <c r="H19" s="111">
        <v>0</v>
      </c>
      <c r="I19" s="7">
        <v>0</v>
      </c>
      <c r="J19" s="7">
        <v>0</v>
      </c>
      <c r="K19" s="7">
        <v>0</v>
      </c>
      <c r="L19" s="7">
        <v>0</v>
      </c>
    </row>
    <row r="20" spans="1:12" x14ac:dyDescent="0.2">
      <c r="A20" s="3" t="s">
        <v>144</v>
      </c>
      <c r="B20" s="29"/>
      <c r="C20" s="32">
        <f>C15+C17-C18-C19</f>
        <v>30110</v>
      </c>
      <c r="D20" s="32">
        <f>D15+D17-D18-D19</f>
        <v>33322</v>
      </c>
      <c r="E20" s="32">
        <f>E15+E17-E18-E19</f>
        <v>35988</v>
      </c>
      <c r="F20" s="32">
        <f>F15+F17-F18-F19</f>
        <v>37608</v>
      </c>
      <c r="G20" s="32">
        <f>G15+G17-G18-G19</f>
        <v>39995</v>
      </c>
      <c r="H20" s="110">
        <f>H15+H17-H18-H19</f>
        <v>43640.848374999987</v>
      </c>
      <c r="I20" s="32">
        <f>I15+I17-I18-I19</f>
        <v>46895.251332309337</v>
      </c>
      <c r="J20" s="32">
        <f>J15+J17-J18-J19</f>
        <v>51724.019021717722</v>
      </c>
      <c r="K20" s="32">
        <f>K15+K17-K18-K19</f>
        <v>56750.085142838128</v>
      </c>
      <c r="L20" s="32">
        <f>L15+L17-L18-L19</f>
        <v>61698.296162744533</v>
      </c>
    </row>
    <row r="21" spans="1:12" x14ac:dyDescent="0.2">
      <c r="A21" s="1" t="s">
        <v>145</v>
      </c>
      <c r="B21" s="5"/>
      <c r="C21" s="24">
        <f>Hist!C19+Hist!C20</f>
        <v>7964</v>
      </c>
      <c r="D21" s="24">
        <f>Hist!D19+Hist!D20</f>
        <v>9214</v>
      </c>
      <c r="E21" s="24">
        <f>Hist!E19+Hist!E20</f>
        <v>9740</v>
      </c>
      <c r="F21" s="24">
        <f>Hist!F19+Hist!F20</f>
        <v>10858</v>
      </c>
      <c r="G21" s="24">
        <f>Hist!G19+Hist!G20</f>
        <v>10521</v>
      </c>
      <c r="H21" s="104">
        <f>H20*Assumptions!H16</f>
        <v>12001.233303124998</v>
      </c>
      <c r="I21" s="24">
        <f>I20*Assumptions!I16</f>
        <v>12896.194116385068</v>
      </c>
      <c r="J21" s="24">
        <f>J20*Assumptions!J16</f>
        <v>14224.105230972375</v>
      </c>
      <c r="K21" s="24">
        <f>K20*Assumptions!K16</f>
        <v>15606.273414280486</v>
      </c>
      <c r="L21" s="24">
        <f>L20*Assumptions!L16</f>
        <v>16967.031444754746</v>
      </c>
    </row>
    <row r="22" spans="1:12" x14ac:dyDescent="0.2">
      <c r="A22" s="2" t="s">
        <v>146</v>
      </c>
      <c r="B22" s="14"/>
      <c r="C22" s="18">
        <f>C21/C20</f>
        <v>0.26449684490202591</v>
      </c>
      <c r="D22" s="18">
        <f>D21/D20</f>
        <v>0.27651401476502013</v>
      </c>
      <c r="E22" s="18">
        <f>E21/E20</f>
        <v>0.27064577081249308</v>
      </c>
      <c r="F22" s="18">
        <f>F21/F20</f>
        <v>0.28871516698574773</v>
      </c>
      <c r="G22" s="18">
        <f>G21/G20</f>
        <v>0.26305788223527943</v>
      </c>
      <c r="H22" s="99">
        <f>H21/H20</f>
        <v>0.27500000000000002</v>
      </c>
      <c r="I22" s="18">
        <f>I21/I20</f>
        <v>0.27500000000000002</v>
      </c>
      <c r="J22" s="18">
        <f>J21/J20</f>
        <v>0.27500000000000002</v>
      </c>
      <c r="K22" s="18">
        <f>K21/K20</f>
        <v>0.27500000000000002</v>
      </c>
      <c r="L22" s="18">
        <f>L21/L20</f>
        <v>0.27499999999999997</v>
      </c>
    </row>
    <row r="23" spans="1:12" x14ac:dyDescent="0.2">
      <c r="A23" s="3" t="s">
        <v>147</v>
      </c>
      <c r="B23" s="29"/>
      <c r="C23" s="32">
        <f>C20-C21</f>
        <v>22146</v>
      </c>
      <c r="D23" s="32">
        <f>D20-D21</f>
        <v>24108</v>
      </c>
      <c r="E23" s="32">
        <f>E20-E21</f>
        <v>26248</v>
      </c>
      <c r="F23" s="32">
        <f>F20-F21</f>
        <v>26750</v>
      </c>
      <c r="G23" s="32">
        <f>G20-G21</f>
        <v>29474</v>
      </c>
      <c r="H23" s="110">
        <f>H20-H21</f>
        <v>31639.615071874989</v>
      </c>
      <c r="I23" s="32">
        <f>I20-I21</f>
        <v>33999.057215924273</v>
      </c>
      <c r="J23" s="32">
        <f>J20-J21</f>
        <v>37499.913790745348</v>
      </c>
      <c r="K23" s="32">
        <f>K20-K21</f>
        <v>41143.811728557645</v>
      </c>
      <c r="L23" s="32">
        <f>L20-L21</f>
        <v>44731.26471798979</v>
      </c>
    </row>
    <row r="24" spans="1:12" x14ac:dyDescent="0.2">
      <c r="A24" s="1" t="s">
        <v>148</v>
      </c>
      <c r="B24" s="5"/>
      <c r="C24" s="24">
        <f>Hist!C22</f>
        <v>36</v>
      </c>
      <c r="D24" s="24">
        <f>Hist!D22</f>
        <v>13</v>
      </c>
      <c r="E24" s="24">
        <f>Hist!E22</f>
        <v>15</v>
      </c>
      <c r="F24" s="24">
        <f>Hist!F22</f>
        <v>37</v>
      </c>
      <c r="G24" s="24">
        <f>Hist!G22</f>
        <v>34</v>
      </c>
      <c r="H24" s="104">
        <f>H23*Assumptions!H27</f>
        <v>37.967538086249981</v>
      </c>
      <c r="I24" s="24">
        <f>I23*Assumptions!I27</f>
        <v>40.798868659109125</v>
      </c>
      <c r="J24" s="24">
        <f>J23*Assumptions!J27</f>
        <v>44.999896548894412</v>
      </c>
      <c r="K24" s="24">
        <f>K23*Assumptions!K27</f>
        <v>49.372574074269167</v>
      </c>
      <c r="L24" s="24">
        <f>L23*Assumptions!L27</f>
        <v>53.677517661587743</v>
      </c>
    </row>
    <row r="25" spans="1:12" x14ac:dyDescent="0.2">
      <c r="A25" s="3" t="s">
        <v>149</v>
      </c>
      <c r="B25" s="29"/>
      <c r="C25" s="32">
        <f>C23-C24</f>
        <v>22110</v>
      </c>
      <c r="D25" s="32">
        <f>D23-D24</f>
        <v>24095</v>
      </c>
      <c r="E25" s="32">
        <f>E23-E24</f>
        <v>26233</v>
      </c>
      <c r="F25" s="32">
        <f>F23-F24</f>
        <v>26713</v>
      </c>
      <c r="G25" s="32">
        <f>G23-G24</f>
        <v>29440</v>
      </c>
      <c r="H25" s="110">
        <f>H23-H24</f>
        <v>31601.647533788739</v>
      </c>
      <c r="I25" s="32">
        <f>I23-I24</f>
        <v>33958.25834726516</v>
      </c>
      <c r="J25" s="32">
        <f>J23-J24</f>
        <v>37454.913894196456</v>
      </c>
      <c r="K25" s="32">
        <f>K23-K24</f>
        <v>41094.439154483378</v>
      </c>
      <c r="L25" s="32">
        <f>L23-L24</f>
        <v>44677.587200328206</v>
      </c>
    </row>
    <row r="26" spans="1:12" x14ac:dyDescent="0.2">
      <c r="A26" s="2" t="s">
        <v>150</v>
      </c>
      <c r="B26" s="14"/>
      <c r="C26" s="18">
        <f>C25/C6</f>
        <v>0.18176437221002786</v>
      </c>
      <c r="D26" s="18">
        <f>D25/D6</f>
        <v>0.16417178248516356</v>
      </c>
      <c r="E26" s="18">
        <f>E25/E6</f>
        <v>0.17070996290752913</v>
      </c>
      <c r="F26" s="18">
        <f>F25/F6</f>
        <v>0.16389349039818393</v>
      </c>
      <c r="G26" s="18">
        <f>G25/G6</f>
        <v>0.16479149174363281</v>
      </c>
      <c r="H26" s="99">
        <f>H25/H6</f>
        <v>0.16128688760051751</v>
      </c>
      <c r="I26" s="18">
        <f>I25/I6</f>
        <v>0.16103548290246048</v>
      </c>
      <c r="J26" s="18">
        <f>J25/J6</f>
        <v>0.16347646735994908</v>
      </c>
      <c r="K26" s="18">
        <f>K25/K6</f>
        <v>0.16508201767727185</v>
      </c>
      <c r="L26" s="18">
        <f>L25/L6</f>
        <v>0.16597019212178701</v>
      </c>
    </row>
    <row r="27" spans="1:12" x14ac:dyDescent="0.2">
      <c r="A27" s="1" t="s">
        <v>151</v>
      </c>
      <c r="B27" s="28"/>
      <c r="C27" s="33">
        <f>Hist!C23/Hist!C24</f>
        <v>421.86605609616487</v>
      </c>
      <c r="D27" s="33">
        <f>Hist!D23/Hist!D24</f>
        <v>418.75217240180746</v>
      </c>
      <c r="E27" s="33">
        <f>Hist!E23/Hist!E24</f>
        <v>414.48886079949438</v>
      </c>
      <c r="F27" s="33">
        <f>Hist!F23/Hist!F24</f>
        <v>415.18495492695058</v>
      </c>
      <c r="G27" s="33">
        <f>Hist!G23/Hist!G24</f>
        <v>411.97872935908202</v>
      </c>
      <c r="H27" s="112">
        <f>Assumptions!H31</f>
        <v>405.26864893062071</v>
      </c>
      <c r="I27" s="33">
        <f>Assumptions!I31</f>
        <v>405.26864893062071</v>
      </c>
      <c r="J27" s="33">
        <f>Assumptions!J31</f>
        <v>405.26864893062071</v>
      </c>
      <c r="K27" s="33">
        <f>Assumptions!K31</f>
        <v>405.26864893062071</v>
      </c>
      <c r="L27" s="33">
        <f>Assumptions!L31</f>
        <v>405.26864893062071</v>
      </c>
    </row>
    <row r="28" spans="1:12" x14ac:dyDescent="0.2">
      <c r="A28" s="1" t="s">
        <v>27</v>
      </c>
      <c r="B28" s="6"/>
      <c r="C28" s="26">
        <f>Hist!C24</f>
        <v>52.41</v>
      </c>
      <c r="D28" s="26">
        <f>Hist!D24</f>
        <v>57.54</v>
      </c>
      <c r="E28" s="26">
        <f>Hist!E24</f>
        <v>63.29</v>
      </c>
      <c r="F28" s="26">
        <f>Hist!F24</f>
        <v>64.34</v>
      </c>
      <c r="G28" s="26">
        <f>Hist!G24</f>
        <v>71.459999999999994</v>
      </c>
      <c r="H28" s="113">
        <f>H25/H27</f>
        <v>77.977034782176631</v>
      </c>
      <c r="I28" s="9">
        <f>I25/I27</f>
        <v>83.791969689416035</v>
      </c>
      <c r="J28" s="9">
        <f>J25/J27</f>
        <v>92.419963875884434</v>
      </c>
      <c r="K28" s="9">
        <f>K25/K27</f>
        <v>101.40048894213496</v>
      </c>
      <c r="L28" s="9">
        <f>L25/L27</f>
        <v>110.24190328617478</v>
      </c>
    </row>
    <row r="29" spans="1:12" x14ac:dyDescent="0.2">
      <c r="A29" s="2" t="s">
        <v>152</v>
      </c>
      <c r="B29" s="5"/>
      <c r="C29" s="24">
        <f>Hist!C25</f>
        <v>415</v>
      </c>
      <c r="D29" s="24">
        <f>Hist!D25</f>
        <v>519</v>
      </c>
      <c r="E29" s="24">
        <f>Hist!E25</f>
        <v>652</v>
      </c>
      <c r="F29" s="24">
        <f>Hist!F25</f>
        <v>802</v>
      </c>
      <c r="G29" s="24">
        <f>Hist!G25</f>
        <v>952</v>
      </c>
      <c r="H29" s="104">
        <f>H6*Assumptions!H19</f>
        <v>1077.6391312499998</v>
      </c>
      <c r="I29" s="24">
        <f>I6*Assumptions!I19</f>
        <v>1159.8091150078121</v>
      </c>
      <c r="J29" s="24">
        <f>J6*Assumptions!J19</f>
        <v>1260.1326034559881</v>
      </c>
      <c r="K29" s="24">
        <f>K6*Assumptions!K19</f>
        <v>1369.1340736549312</v>
      </c>
      <c r="L29" s="24">
        <f>L6*Assumptions!L19</f>
        <v>1480.5473588986008</v>
      </c>
    </row>
    <row r="30" spans="1:12" x14ac:dyDescent="0.2">
      <c r="A30" s="2" t="s">
        <v>153</v>
      </c>
      <c r="B30" s="5"/>
      <c r="C30" s="24">
        <f>C20-Hist!C18</f>
        <v>0</v>
      </c>
      <c r="D30" s="24">
        <f>D20-Hist!D18</f>
        <v>0</v>
      </c>
      <c r="E30" s="24">
        <f>E20-Hist!E18</f>
        <v>0</v>
      </c>
      <c r="F30" s="24">
        <f>F20-Hist!F18</f>
        <v>0</v>
      </c>
      <c r="G30" s="24">
        <f>G20-Hist!G18</f>
        <v>0</v>
      </c>
      <c r="H30" s="97"/>
      <c r="I30" s="5"/>
      <c r="J30" s="5"/>
      <c r="K30" s="5"/>
      <c r="L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E9F5-938E-0E43-B877-28DBA52D9985}">
  <sheetPr>
    <tabColor rgb="FF00B0AB"/>
  </sheetPr>
  <dimension ref="A1:L38"/>
  <sheetViews>
    <sheetView showGridLines="0" tabSelected="1" workbookViewId="0">
      <pane ySplit="4" topLeftCell="A5" activePane="bottomLeft" state="frozen"/>
      <selection pane="bottomLeft" activeCell="C29" sqref="C29"/>
    </sheetView>
  </sheetViews>
  <sheetFormatPr baseColWidth="10" defaultRowHeight="16" x14ac:dyDescent="0.2"/>
  <cols>
    <col min="1" max="1" width="55" customWidth="1"/>
    <col min="2" max="2" width="2" customWidth="1"/>
    <col min="3" max="12" width="12.33203125" customWidth="1"/>
  </cols>
  <sheetData>
    <row r="1" spans="1:12" ht="18" x14ac:dyDescent="0.2">
      <c r="A1" s="79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74" t="str">
        <f>"₹ crore  |  Ind AS line items grouped for forecasting  |  Forecast case: "&amp;Assumptions!$E$4</f>
        <v>₹ crore  |  Ind AS line items grouped for forecasting  |  Forecast case: Base case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80" t="s">
        <v>2</v>
      </c>
      <c r="B4" s="80"/>
      <c r="C4" s="81" t="s">
        <v>3</v>
      </c>
      <c r="D4" s="81" t="s">
        <v>4</v>
      </c>
      <c r="E4" s="81" t="s">
        <v>5</v>
      </c>
      <c r="F4" s="81" t="s">
        <v>6</v>
      </c>
      <c r="G4" s="81" t="s">
        <v>7</v>
      </c>
      <c r="H4" s="108" t="s">
        <v>102</v>
      </c>
      <c r="I4" s="81" t="s">
        <v>103</v>
      </c>
      <c r="J4" s="81" t="s">
        <v>104</v>
      </c>
      <c r="K4" s="81" t="s">
        <v>105</v>
      </c>
      <c r="L4" s="81" t="s">
        <v>106</v>
      </c>
    </row>
    <row r="5" spans="1:12" x14ac:dyDescent="0.2">
      <c r="A5" s="75" t="s">
        <v>155</v>
      </c>
      <c r="B5" s="84"/>
      <c r="C5" s="84"/>
      <c r="D5" s="84"/>
      <c r="E5" s="84"/>
      <c r="F5" s="84"/>
      <c r="G5" s="84"/>
      <c r="H5" s="98"/>
      <c r="I5" s="84"/>
      <c r="J5" s="84"/>
      <c r="K5" s="84"/>
      <c r="L5" s="84"/>
    </row>
    <row r="6" spans="1:12" x14ac:dyDescent="0.2">
      <c r="A6" s="1" t="s">
        <v>45</v>
      </c>
      <c r="B6" s="5"/>
      <c r="C6" s="24">
        <f>Hist!C43</f>
        <v>17472</v>
      </c>
      <c r="D6" s="24">
        <f>Hist!D43</f>
        <v>12173</v>
      </c>
      <c r="E6" s="24">
        <f>Hist!E43</f>
        <v>14786</v>
      </c>
      <c r="F6" s="24">
        <f>Hist!F43</f>
        <v>24455</v>
      </c>
      <c r="G6" s="24">
        <f>Hist!G43</f>
        <v>22201</v>
      </c>
      <c r="H6" s="104">
        <f>CF!H31</f>
        <v>24556.765158068771</v>
      </c>
      <c r="I6" s="24">
        <f>CF!I31</f>
        <v>33185.144993345682</v>
      </c>
      <c r="J6" s="24">
        <f>CF!J31</f>
        <v>42470.742838323276</v>
      </c>
      <c r="K6" s="24">
        <f>CF!K31</f>
        <v>52679.927645896998</v>
      </c>
      <c r="L6" s="24">
        <f>CF!L31</f>
        <v>63942.503605258338</v>
      </c>
    </row>
    <row r="7" spans="1:12" x14ac:dyDescent="0.2">
      <c r="A7" s="1" t="s">
        <v>156</v>
      </c>
      <c r="B7" s="5"/>
      <c r="C7" s="24">
        <f>Hist!C41</f>
        <v>6673</v>
      </c>
      <c r="D7" s="24">
        <f>Hist!D41</f>
        <v>6909</v>
      </c>
      <c r="E7" s="24">
        <f>Hist!E41</f>
        <v>12915</v>
      </c>
      <c r="F7" s="24">
        <f>Hist!F41</f>
        <v>12482</v>
      </c>
      <c r="G7" s="24">
        <f>Hist!G41</f>
        <v>12950</v>
      </c>
      <c r="H7" s="114">
        <f>G7</f>
        <v>12950</v>
      </c>
      <c r="I7" s="34">
        <f>H7</f>
        <v>12950</v>
      </c>
      <c r="J7" s="34">
        <f>I7</f>
        <v>12950</v>
      </c>
      <c r="K7" s="34">
        <f>J7</f>
        <v>12950</v>
      </c>
      <c r="L7" s="34">
        <f>K7</f>
        <v>12950</v>
      </c>
    </row>
    <row r="8" spans="1:12" x14ac:dyDescent="0.2">
      <c r="A8" s="1" t="s">
        <v>157</v>
      </c>
      <c r="B8" s="5"/>
      <c r="C8" s="24">
        <f>Hist!C34</f>
        <v>13651</v>
      </c>
      <c r="D8" s="24">
        <f>Hist!D34</f>
        <v>12569</v>
      </c>
      <c r="E8" s="24">
        <f>Hist!E34</f>
        <v>11708</v>
      </c>
      <c r="F8" s="24">
        <f>Hist!F34</f>
        <v>11059</v>
      </c>
      <c r="G8" s="24">
        <f>Hist!G34</f>
        <v>8930</v>
      </c>
      <c r="H8" s="114">
        <f>G8</f>
        <v>8930</v>
      </c>
      <c r="I8" s="34">
        <f>H8</f>
        <v>8930</v>
      </c>
      <c r="J8" s="34">
        <f>I8</f>
        <v>8930</v>
      </c>
      <c r="K8" s="34">
        <f>J8</f>
        <v>8930</v>
      </c>
      <c r="L8" s="34">
        <f>K8</f>
        <v>8930</v>
      </c>
    </row>
    <row r="9" spans="1:12" x14ac:dyDescent="0.2">
      <c r="A9" s="1" t="s">
        <v>44</v>
      </c>
      <c r="B9" s="5"/>
      <c r="C9" s="24">
        <f>Hist!C42</f>
        <v>22698</v>
      </c>
      <c r="D9" s="24">
        <f>Hist!D42</f>
        <v>25424</v>
      </c>
      <c r="E9" s="24">
        <f>Hist!E42</f>
        <v>30193</v>
      </c>
      <c r="F9" s="24">
        <f>Hist!F42</f>
        <v>31158</v>
      </c>
      <c r="G9" s="24">
        <f>Hist!G42</f>
        <v>35234</v>
      </c>
      <c r="H9" s="104">
        <f>IS!H6*Assumptions!H15/365</f>
        <v>38650.070958904107</v>
      </c>
      <c r="I9" s="24">
        <f>IS!I6*Assumptions!I15/365</f>
        <v>41597.138869520539</v>
      </c>
      <c r="J9" s="24">
        <f>IS!J6*Assumptions!J15/365</f>
        <v>45195.291381734067</v>
      </c>
      <c r="K9" s="24">
        <f>IS!K6*Assumptions!K15/365</f>
        <v>49104.684086254078</v>
      </c>
      <c r="L9" s="24">
        <f>IS!L6*Assumptions!L15/365</f>
        <v>53100.577753772988</v>
      </c>
    </row>
    <row r="10" spans="1:12" x14ac:dyDescent="0.2">
      <c r="A10" s="1" t="s">
        <v>158</v>
      </c>
      <c r="B10" s="5"/>
      <c r="C10" s="24">
        <f>Hist!C44+Hist!C45+Hist!C47</f>
        <v>20288</v>
      </c>
      <c r="D10" s="24">
        <f>Hist!D44+Hist!D45+Hist!D47</f>
        <v>26369</v>
      </c>
      <c r="E10" s="24">
        <f>Hist!E44+Hist!E45+Hist!E47</f>
        <v>25141</v>
      </c>
      <c r="F10" s="24">
        <f>Hist!F44+Hist!F45+Hist!F47</f>
        <v>26029</v>
      </c>
      <c r="G10" s="24">
        <f>Hist!G44+Hist!G45+Hist!G47</f>
        <v>31269</v>
      </c>
      <c r="H10" s="104">
        <f>IS!H6*Assumptions!H20</f>
        <v>34288.517812499995</v>
      </c>
      <c r="I10" s="24">
        <f>IS!I6*Assumptions!I20</f>
        <v>36903.017295703117</v>
      </c>
      <c r="J10" s="24">
        <f>IS!J6*Assumptions!J20</f>
        <v>40095.128291781439</v>
      </c>
      <c r="K10" s="24">
        <f>IS!K6*Assumptions!K20</f>
        <v>43563.356889020535</v>
      </c>
      <c r="L10" s="24">
        <f>IS!L6*Assumptions!L20</f>
        <v>47108.325055864567</v>
      </c>
    </row>
    <row r="11" spans="1:12" x14ac:dyDescent="0.2">
      <c r="A11" s="1" t="s">
        <v>159</v>
      </c>
      <c r="B11" s="5"/>
      <c r="C11" s="24">
        <f>Hist!C46+Hist!C38</f>
        <v>6152</v>
      </c>
      <c r="D11" s="24">
        <f>Hist!D46+Hist!D38</f>
        <v>6459</v>
      </c>
      <c r="E11" s="24">
        <f>Hist!E46+Hist!E38</f>
        <v>9442</v>
      </c>
      <c r="F11" s="24">
        <f>Hist!F46+Hist!F38</f>
        <v>4597</v>
      </c>
      <c r="G11" s="24">
        <f>Hist!G46+Hist!G38</f>
        <v>2501</v>
      </c>
      <c r="H11" s="114">
        <f>G11</f>
        <v>2501</v>
      </c>
      <c r="I11" s="34">
        <f>H11</f>
        <v>2501</v>
      </c>
      <c r="J11" s="34">
        <f>I11</f>
        <v>2501</v>
      </c>
      <c r="K11" s="34">
        <f>J11</f>
        <v>2501</v>
      </c>
      <c r="L11" s="34">
        <f>K11</f>
        <v>2501</v>
      </c>
    </row>
    <row r="12" spans="1:12" x14ac:dyDescent="0.2">
      <c r="A12" s="1" t="s">
        <v>160</v>
      </c>
      <c r="B12" s="5"/>
      <c r="C12" s="24">
        <f>Hist!C29+Hist!C30+Hist!C31+Hist!C33</f>
        <v>20021</v>
      </c>
      <c r="D12" s="24">
        <f>Hist!D29+Hist!D30+Hist!D31+Hist!D33</f>
        <v>22265</v>
      </c>
      <c r="E12" s="24">
        <f>Hist!E29+Hist!E30+Hist!E31+Hist!E33</f>
        <v>20612</v>
      </c>
      <c r="F12" s="24">
        <f>Hist!F29+Hist!F30+Hist!F31+Hist!F33</f>
        <v>21669</v>
      </c>
      <c r="G12" s="24">
        <f>Hist!G29+Hist!G30+Hist!G31+Hist!G33</f>
        <v>22179</v>
      </c>
      <c r="H12" s="104">
        <f>G12-CF!H17+H36-IS!H14</f>
        <v>23779.391312499996</v>
      </c>
      <c r="I12" s="24">
        <f>H12-CF!I17+I36-IS!I14</f>
        <v>25384.82870007812</v>
      </c>
      <c r="J12" s="24">
        <f>I12-CF!J17+J36-IS!J14</f>
        <v>27231.561122747378</v>
      </c>
      <c r="K12" s="24">
        <f>J12-CF!K17+K36-IS!K14</f>
        <v>29238.035899977527</v>
      </c>
      <c r="L12" s="24">
        <f>K12-CF!L17+L36-IS!L14</f>
        <v>31347.902624163264</v>
      </c>
    </row>
    <row r="13" spans="1:12" x14ac:dyDescent="0.2">
      <c r="A13" s="1" t="s">
        <v>34</v>
      </c>
      <c r="B13" s="5"/>
      <c r="C13" s="24">
        <f>Hist!C32</f>
        <v>6195</v>
      </c>
      <c r="D13" s="24">
        <f>Hist!D32</f>
        <v>7248</v>
      </c>
      <c r="E13" s="24">
        <f>Hist!E32</f>
        <v>7303</v>
      </c>
      <c r="F13" s="24">
        <f>Hist!F32</f>
        <v>10106</v>
      </c>
      <c r="G13" s="24">
        <f>Hist!G32</f>
        <v>12117</v>
      </c>
      <c r="H13" s="104">
        <f>G13-CF!H18</f>
        <v>17428</v>
      </c>
      <c r="I13" s="24">
        <f>H13-CF!I18</f>
        <v>17428</v>
      </c>
      <c r="J13" s="24">
        <f>I13-CF!J18</f>
        <v>17428</v>
      </c>
      <c r="K13" s="24">
        <f>J13-CF!K18</f>
        <v>17428</v>
      </c>
      <c r="L13" s="24">
        <f>K13-CF!L18</f>
        <v>17428</v>
      </c>
    </row>
    <row r="14" spans="1:12" x14ac:dyDescent="0.2">
      <c r="A14" s="1" t="s">
        <v>161</v>
      </c>
      <c r="B14" s="5"/>
      <c r="C14" s="24">
        <f>Hist!C35+Hist!C36+Hist!C37+Hist!C39</f>
        <v>4735</v>
      </c>
      <c r="D14" s="24">
        <f>Hist!D35+Hist!D36+Hist!D37+Hist!D39</f>
        <v>6400</v>
      </c>
      <c r="E14" s="24">
        <f>Hist!E35+Hist!E36+Hist!E37+Hist!E39</f>
        <v>5714</v>
      </c>
      <c r="F14" s="24">
        <f>Hist!F35+Hist!F36+Hist!F37+Hist!F39</f>
        <v>7348</v>
      </c>
      <c r="G14" s="24">
        <f>Hist!G35+Hist!G36+Hist!G37+Hist!G39</f>
        <v>8586</v>
      </c>
      <c r="H14" s="114">
        <f>G14</f>
        <v>8586</v>
      </c>
      <c r="I14" s="34">
        <f>H14</f>
        <v>8586</v>
      </c>
      <c r="J14" s="34">
        <f>I14</f>
        <v>8586</v>
      </c>
      <c r="K14" s="34">
        <f>J14</f>
        <v>8586</v>
      </c>
      <c r="L14" s="34">
        <f>K14</f>
        <v>8586</v>
      </c>
    </row>
    <row r="15" spans="1:12" x14ac:dyDescent="0.2">
      <c r="A15" s="3" t="s">
        <v>162</v>
      </c>
      <c r="B15" s="29"/>
      <c r="C15" s="32">
        <f>SUM(C6:C14)</f>
        <v>117885</v>
      </c>
      <c r="D15" s="32">
        <f>SUM(D6:D14)</f>
        <v>125816</v>
      </c>
      <c r="E15" s="32">
        <f>SUM(E6:E14)</f>
        <v>137814</v>
      </c>
      <c r="F15" s="32">
        <f>SUM(F6:F14)</f>
        <v>148903</v>
      </c>
      <c r="G15" s="32">
        <f>SUM(G6:G14)</f>
        <v>155967</v>
      </c>
      <c r="H15" s="110">
        <f>SUM(H6:H14)</f>
        <v>171669.74524197285</v>
      </c>
      <c r="I15" s="32">
        <f>SUM(I6:I14)</f>
        <v>187465.12985864747</v>
      </c>
      <c r="J15" s="32">
        <f>SUM(J6:J14)</f>
        <v>205387.72363458615</v>
      </c>
      <c r="K15" s="32">
        <f>SUM(K6:K14)</f>
        <v>224981.00452114912</v>
      </c>
      <c r="L15" s="32">
        <f>SUM(L6:L14)</f>
        <v>245894.30903905915</v>
      </c>
    </row>
    <row r="16" spans="1:12" x14ac:dyDescent="0.2">
      <c r="A16" s="1"/>
      <c r="B16" s="5"/>
      <c r="C16" s="5"/>
      <c r="D16" s="5"/>
      <c r="E16" s="5"/>
      <c r="F16" s="5"/>
      <c r="G16" s="5"/>
      <c r="H16" s="97"/>
      <c r="I16" s="5"/>
      <c r="J16" s="5"/>
      <c r="K16" s="5"/>
      <c r="L16" s="5"/>
    </row>
    <row r="17" spans="1:12" x14ac:dyDescent="0.2">
      <c r="A17" s="75" t="s">
        <v>163</v>
      </c>
      <c r="B17" s="84"/>
      <c r="C17" s="84"/>
      <c r="D17" s="84"/>
      <c r="E17" s="84"/>
      <c r="F17" s="84"/>
      <c r="G17" s="84"/>
      <c r="H17" s="98"/>
      <c r="I17" s="84"/>
      <c r="J17" s="84"/>
      <c r="K17" s="84"/>
      <c r="L17" s="84"/>
    </row>
    <row r="18" spans="1:12" x14ac:dyDescent="0.2">
      <c r="A18" s="1" t="s">
        <v>62</v>
      </c>
      <c r="B18" s="5"/>
      <c r="C18" s="24">
        <f>Hist!C60</f>
        <v>4134</v>
      </c>
      <c r="D18" s="24">
        <f>Hist!D60</f>
        <v>3865</v>
      </c>
      <c r="E18" s="24">
        <f>Hist!E60</f>
        <v>3956</v>
      </c>
      <c r="F18" s="24">
        <f>Hist!F60</f>
        <v>4164</v>
      </c>
      <c r="G18" s="24">
        <f>Hist!G60</f>
        <v>4744</v>
      </c>
      <c r="H18" s="104">
        <f>IS!H6*Assumptions!H21</f>
        <v>5290.2284624999993</v>
      </c>
      <c r="I18" s="24">
        <f>IS!I6*Assumptions!I21</f>
        <v>5693.6083827656239</v>
      </c>
      <c r="J18" s="24">
        <f>IS!J6*Assumptions!J21</f>
        <v>6186.1055078748514</v>
      </c>
      <c r="K18" s="24">
        <f>IS!K6*Assumptions!K21</f>
        <v>6721.2036343060263</v>
      </c>
      <c r="L18" s="24">
        <f>IS!L6*Assumptions!L21</f>
        <v>7268.1415800476771</v>
      </c>
    </row>
    <row r="19" spans="1:12" x14ac:dyDescent="0.2">
      <c r="A19" s="1" t="s">
        <v>164</v>
      </c>
      <c r="B19" s="5"/>
      <c r="C19" s="24">
        <f>Hist!C61+Hist!C62+Hist!C63</f>
        <v>25990</v>
      </c>
      <c r="D19" s="24">
        <f>Hist!D61+Hist!D62+Hist!D63</f>
        <v>30695</v>
      </c>
      <c r="E19" s="24">
        <f>Hist!E61+Hist!E62+Hist!E63</f>
        <v>29294</v>
      </c>
      <c r="F19" s="24">
        <f>Hist!F61+Hist!F62+Hist!F63</f>
        <v>31378</v>
      </c>
      <c r="G19" s="24">
        <f>Hist!G61+Hist!G62+Hist!G63</f>
        <v>38774</v>
      </c>
      <c r="H19" s="104">
        <f>IS!H6*Assumptions!H22</f>
        <v>42517.762087499999</v>
      </c>
      <c r="I19" s="24">
        <f>IS!I6*Assumptions!I22</f>
        <v>45759.741446671869</v>
      </c>
      <c r="J19" s="24">
        <f>IS!J6*Assumptions!J22</f>
        <v>49717.959081808986</v>
      </c>
      <c r="K19" s="24">
        <f>IS!K6*Assumptions!K22</f>
        <v>54018.562542385465</v>
      </c>
      <c r="L19" s="24">
        <f>IS!L6*Assumptions!L22</f>
        <v>58414.323069272068</v>
      </c>
    </row>
    <row r="20" spans="1:12" x14ac:dyDescent="0.2">
      <c r="A20" s="1" t="s">
        <v>66</v>
      </c>
      <c r="B20" s="5"/>
      <c r="C20" s="24">
        <f>Hist!C64</f>
        <v>2607</v>
      </c>
      <c r="D20" s="24">
        <f>Hist!D64</f>
        <v>3384</v>
      </c>
      <c r="E20" s="24">
        <f>Hist!E64</f>
        <v>3585</v>
      </c>
      <c r="F20" s="24">
        <f>Hist!F64</f>
        <v>4853</v>
      </c>
      <c r="G20" s="24">
        <f>Hist!G64</f>
        <v>5644</v>
      </c>
      <c r="H20" s="114">
        <f>G20</f>
        <v>5644</v>
      </c>
      <c r="I20" s="34">
        <f>H20</f>
        <v>5644</v>
      </c>
      <c r="J20" s="34">
        <f>I20</f>
        <v>5644</v>
      </c>
      <c r="K20" s="34">
        <f>J20</f>
        <v>5644</v>
      </c>
      <c r="L20" s="34">
        <f>K20</f>
        <v>5644</v>
      </c>
    </row>
    <row r="21" spans="1:12" x14ac:dyDescent="0.2">
      <c r="A21" s="1" t="s">
        <v>165</v>
      </c>
      <c r="B21" s="5"/>
      <c r="C21" s="24">
        <f>Hist!C54+Hist!C59</f>
        <v>5474</v>
      </c>
      <c r="D21" s="24">
        <f>Hist!D54+Hist!D59</f>
        <v>8299</v>
      </c>
      <c r="E21" s="24">
        <f>Hist!E54+Hist!E59</f>
        <v>8359</v>
      </c>
      <c r="F21" s="24">
        <f>Hist!F54+Hist!F59</f>
        <v>8227</v>
      </c>
      <c r="G21" s="24">
        <f>Hist!G54+Hist!G59</f>
        <v>9176</v>
      </c>
      <c r="H21" s="104">
        <f>IS!H6*Assumptions!H23</f>
        <v>9992.6537624999983</v>
      </c>
      <c r="I21" s="24">
        <f>IS!I6*Assumptions!I23</f>
        <v>10754.593611890623</v>
      </c>
      <c r="J21" s="24">
        <f>IS!J6*Assumptions!J23</f>
        <v>11684.865959319162</v>
      </c>
      <c r="K21" s="24">
        <f>IS!K6*Assumptions!K23</f>
        <v>12695.606864800271</v>
      </c>
      <c r="L21" s="24">
        <f>IS!L6*Assumptions!L23</f>
        <v>13728.711873423388</v>
      </c>
    </row>
    <row r="22" spans="1:12" x14ac:dyDescent="0.2">
      <c r="A22" s="1" t="s">
        <v>166</v>
      </c>
      <c r="B22" s="5"/>
      <c r="C22" s="24">
        <f>Hist!C55+Hist!C56+Hist!C57</f>
        <v>3944</v>
      </c>
      <c r="D22" s="24">
        <f>Hist!D55+Hist!D56+Hist!D57</f>
        <v>3778</v>
      </c>
      <c r="E22" s="24">
        <f>Hist!E55+Hist!E56+Hist!E57</f>
        <v>4159</v>
      </c>
      <c r="F22" s="24">
        <f>Hist!F55+Hist!F56+Hist!F57</f>
        <v>4078</v>
      </c>
      <c r="G22" s="24">
        <f>Hist!G55+Hist!G56+Hist!G57</f>
        <v>4332</v>
      </c>
      <c r="H22" s="114">
        <f>G22</f>
        <v>4332</v>
      </c>
      <c r="I22" s="34">
        <f>H22</f>
        <v>4332</v>
      </c>
      <c r="J22" s="34">
        <f>I22</f>
        <v>4332</v>
      </c>
      <c r="K22" s="34">
        <f>J22</f>
        <v>4332</v>
      </c>
      <c r="L22" s="34">
        <f>K22</f>
        <v>4332</v>
      </c>
    </row>
    <row r="23" spans="1:12" x14ac:dyDescent="0.2">
      <c r="A23" s="3" t="s">
        <v>167</v>
      </c>
      <c r="B23" s="29"/>
      <c r="C23" s="32">
        <f>SUM(C18:C22)</f>
        <v>42149</v>
      </c>
      <c r="D23" s="32">
        <f>SUM(D18:D22)</f>
        <v>50021</v>
      </c>
      <c r="E23" s="32">
        <f>SUM(E18:E22)</f>
        <v>49353</v>
      </c>
      <c r="F23" s="32">
        <f>SUM(F18:F22)</f>
        <v>52700</v>
      </c>
      <c r="G23" s="32">
        <f>SUM(G18:G22)</f>
        <v>62670</v>
      </c>
      <c r="H23" s="110">
        <f>SUM(H18:H22)</f>
        <v>67776.644312499993</v>
      </c>
      <c r="I23" s="32">
        <f>SUM(I18:I22)</f>
        <v>72183.943441328112</v>
      </c>
      <c r="J23" s="32">
        <f>SUM(J18:J22)</f>
        <v>77564.930549003009</v>
      </c>
      <c r="K23" s="32">
        <f>SUM(K18:K22)</f>
        <v>83411.373041491752</v>
      </c>
      <c r="L23" s="32">
        <f>SUM(L18:L22)</f>
        <v>89387.176522743131</v>
      </c>
    </row>
    <row r="24" spans="1:12" x14ac:dyDescent="0.2">
      <c r="A24" s="1"/>
      <c r="B24" s="5"/>
      <c r="C24" s="5"/>
      <c r="D24" s="5"/>
      <c r="E24" s="5"/>
      <c r="F24" s="5"/>
      <c r="G24" s="5"/>
      <c r="H24" s="97"/>
      <c r="I24" s="5"/>
      <c r="J24" s="5"/>
      <c r="K24" s="5"/>
      <c r="L24" s="5"/>
    </row>
    <row r="25" spans="1:12" x14ac:dyDescent="0.2">
      <c r="A25" s="75" t="s">
        <v>168</v>
      </c>
      <c r="B25" s="84"/>
      <c r="C25" s="84"/>
      <c r="D25" s="84"/>
      <c r="E25" s="84"/>
      <c r="F25" s="84"/>
      <c r="G25" s="84"/>
      <c r="H25" s="98"/>
      <c r="I25" s="84"/>
      <c r="J25" s="84"/>
      <c r="K25" s="84"/>
      <c r="L25" s="84"/>
    </row>
    <row r="26" spans="1:12" x14ac:dyDescent="0.2">
      <c r="A26" s="1" t="s">
        <v>52</v>
      </c>
      <c r="B26" s="5"/>
      <c r="C26" s="24">
        <f>Hist!C50</f>
        <v>2098</v>
      </c>
      <c r="D26" s="24">
        <f>Hist!D50</f>
        <v>2069</v>
      </c>
      <c r="E26" s="24">
        <f>Hist!E50</f>
        <v>2071</v>
      </c>
      <c r="F26" s="24">
        <f>Hist!F50</f>
        <v>2073</v>
      </c>
      <c r="G26" s="24">
        <f>Hist!G50</f>
        <v>2024</v>
      </c>
      <c r="H26" s="114">
        <f>G26</f>
        <v>2024</v>
      </c>
      <c r="I26" s="34">
        <f>H26</f>
        <v>2024</v>
      </c>
      <c r="J26" s="34">
        <f>I26</f>
        <v>2024</v>
      </c>
      <c r="K26" s="34">
        <f>J26</f>
        <v>2024</v>
      </c>
      <c r="L26" s="34">
        <f>K26</f>
        <v>2024</v>
      </c>
    </row>
    <row r="27" spans="1:12" x14ac:dyDescent="0.2">
      <c r="A27" s="1" t="s">
        <v>53</v>
      </c>
      <c r="B27" s="5"/>
      <c r="C27" s="24">
        <f>Hist!C51</f>
        <v>73252</v>
      </c>
      <c r="D27" s="24">
        <f>Hist!D51</f>
        <v>73338</v>
      </c>
      <c r="E27" s="24">
        <f>Hist!E51</f>
        <v>86045</v>
      </c>
      <c r="F27" s="24">
        <f>Hist!F51</f>
        <v>93745</v>
      </c>
      <c r="G27" s="24">
        <f>Hist!G51</f>
        <v>90828</v>
      </c>
      <c r="H27" s="104">
        <f>G27+IS!H25+IS!H29+CF!H24+CF!H25</f>
        <v>101386.13339138663</v>
      </c>
      <c r="I27" s="24">
        <f>H27+IS!I25+IS!I29+CF!I24+CF!I25</f>
        <v>112733.42001057399</v>
      </c>
      <c r="J27" s="24">
        <f>I27+IS!J25+IS!J29+CF!J24+CF!J25</f>
        <v>125230.02678228889</v>
      </c>
      <c r="K27" s="24">
        <f>J27+IS!K25+IS!K29+CF!K24+CF!K25</f>
        <v>138927.49260228881</v>
      </c>
      <c r="L27" s="24">
        <f>K27+IS!L25+IS!L29+CF!L24+CF!L25</f>
        <v>153811.31612128587</v>
      </c>
    </row>
    <row r="28" spans="1:12" x14ac:dyDescent="0.2">
      <c r="A28" s="3" t="s">
        <v>169</v>
      </c>
      <c r="B28" s="29"/>
      <c r="C28" s="35">
        <f>C26+C27</f>
        <v>75350</v>
      </c>
      <c r="D28" s="35">
        <f>D26+D27</f>
        <v>75407</v>
      </c>
      <c r="E28" s="35">
        <f>E26+E27</f>
        <v>88116</v>
      </c>
      <c r="F28" s="35">
        <f>F26+F27</f>
        <v>95818</v>
      </c>
      <c r="G28" s="35">
        <f>G26+G27</f>
        <v>92852</v>
      </c>
      <c r="H28" s="115">
        <f>H26+H27</f>
        <v>103410.13339138663</v>
      </c>
      <c r="I28" s="35">
        <f>I26+I27</f>
        <v>114757.42001057399</v>
      </c>
      <c r="J28" s="35">
        <f>J26+J27</f>
        <v>127254.02678228889</v>
      </c>
      <c r="K28" s="35">
        <f>K26+K27</f>
        <v>140951.49260228881</v>
      </c>
      <c r="L28" s="35">
        <f>L26+L27</f>
        <v>155835.31612128587</v>
      </c>
    </row>
    <row r="29" spans="1:12" x14ac:dyDescent="0.2">
      <c r="A29" s="1" t="s">
        <v>54</v>
      </c>
      <c r="B29" s="5"/>
      <c r="C29" s="24">
        <f>Hist!C52</f>
        <v>386</v>
      </c>
      <c r="D29" s="24">
        <f>Hist!D52</f>
        <v>388</v>
      </c>
      <c r="E29" s="24">
        <f>Hist!E52</f>
        <v>345</v>
      </c>
      <c r="F29" s="24">
        <f>Hist!F52</f>
        <v>385</v>
      </c>
      <c r="G29" s="24">
        <f>Hist!G52</f>
        <v>445</v>
      </c>
      <c r="H29" s="104">
        <f>G29+IS!H24</f>
        <v>482.96753808624999</v>
      </c>
      <c r="I29" s="24">
        <f>H29+IS!I24</f>
        <v>523.76640674535906</v>
      </c>
      <c r="J29" s="24">
        <f>I29+IS!J24</f>
        <v>568.76630329425348</v>
      </c>
      <c r="K29" s="24">
        <f>J29+IS!K24</f>
        <v>618.13887736852269</v>
      </c>
      <c r="L29" s="24">
        <f>K29+IS!L24</f>
        <v>671.81639503011047</v>
      </c>
    </row>
    <row r="30" spans="1:12" x14ac:dyDescent="0.2">
      <c r="A30" s="3" t="s">
        <v>170</v>
      </c>
      <c r="B30" s="29"/>
      <c r="C30" s="32">
        <f>C28+C29</f>
        <v>75736</v>
      </c>
      <c r="D30" s="32">
        <f>D28+D29</f>
        <v>75795</v>
      </c>
      <c r="E30" s="32">
        <f>E28+E29</f>
        <v>88461</v>
      </c>
      <c r="F30" s="32">
        <f>F28+F29</f>
        <v>96203</v>
      </c>
      <c r="G30" s="32">
        <f>G28+G29</f>
        <v>93297</v>
      </c>
      <c r="H30" s="110">
        <f>H28+H29</f>
        <v>103893.10092947287</v>
      </c>
      <c r="I30" s="32">
        <f>I28+I29</f>
        <v>115281.18641731935</v>
      </c>
      <c r="J30" s="32">
        <f>J28+J29</f>
        <v>127822.79308558314</v>
      </c>
      <c r="K30" s="32">
        <f>K28+K29</f>
        <v>141569.63147965734</v>
      </c>
      <c r="L30" s="32">
        <f>L28+L29</f>
        <v>156507.13251631599</v>
      </c>
    </row>
    <row r="31" spans="1:12" x14ac:dyDescent="0.2">
      <c r="A31" s="3" t="s">
        <v>171</v>
      </c>
      <c r="B31" s="29"/>
      <c r="C31" s="32">
        <f>C23+C30</f>
        <v>117885</v>
      </c>
      <c r="D31" s="32">
        <f>D23+D30</f>
        <v>125816</v>
      </c>
      <c r="E31" s="32">
        <f>E23+E30</f>
        <v>137814</v>
      </c>
      <c r="F31" s="32">
        <f>F23+F30</f>
        <v>148903</v>
      </c>
      <c r="G31" s="32">
        <f>G23+G30</f>
        <v>155967</v>
      </c>
      <c r="H31" s="110">
        <f>H23+H30</f>
        <v>171669.74524197285</v>
      </c>
      <c r="I31" s="32">
        <f>I23+I30</f>
        <v>187465.12985864747</v>
      </c>
      <c r="J31" s="32">
        <f>J23+J30</f>
        <v>205387.72363458615</v>
      </c>
      <c r="K31" s="32">
        <f>K23+K30</f>
        <v>224981.00452114909</v>
      </c>
      <c r="L31" s="32">
        <f>L23+L30</f>
        <v>245894.30903905912</v>
      </c>
    </row>
    <row r="32" spans="1:12" x14ac:dyDescent="0.2">
      <c r="A32" s="2" t="s">
        <v>172</v>
      </c>
      <c r="B32" s="5"/>
      <c r="C32" s="64">
        <f>C15-C31</f>
        <v>0</v>
      </c>
      <c r="D32" s="64">
        <f>D15-D31</f>
        <v>0</v>
      </c>
      <c r="E32" s="64">
        <f>E15-E31</f>
        <v>0</v>
      </c>
      <c r="F32" s="64">
        <f>F15-F31</f>
        <v>0</v>
      </c>
      <c r="G32" s="64">
        <f>G15-G31</f>
        <v>0</v>
      </c>
      <c r="H32" s="116">
        <f>H15-H31</f>
        <v>0</v>
      </c>
      <c r="I32" s="64">
        <f>I15-I31</f>
        <v>0</v>
      </c>
      <c r="J32" s="64">
        <f>J15-J31</f>
        <v>0</v>
      </c>
      <c r="K32" s="64">
        <f>K15-K31</f>
        <v>0</v>
      </c>
      <c r="L32" s="64">
        <f>L15-L31</f>
        <v>0</v>
      </c>
    </row>
    <row r="33" spans="1:12" x14ac:dyDescent="0.2">
      <c r="A33" s="1"/>
      <c r="B33" s="5"/>
      <c r="C33" s="5"/>
      <c r="D33" s="5"/>
      <c r="E33" s="5"/>
      <c r="F33" s="5"/>
      <c r="G33" s="5"/>
      <c r="H33" s="97"/>
      <c r="I33" s="5"/>
      <c r="J33" s="5"/>
      <c r="K33" s="5"/>
      <c r="L33" s="5"/>
    </row>
    <row r="34" spans="1:12" x14ac:dyDescent="0.2">
      <c r="A34" s="2" t="s">
        <v>173</v>
      </c>
      <c r="B34" s="5"/>
      <c r="C34" s="34">
        <f>C9+C10-C18-C19</f>
        <v>12862</v>
      </c>
      <c r="D34" s="34">
        <f>D9+D10-D18-D19</f>
        <v>17233</v>
      </c>
      <c r="E34" s="34">
        <f>E9+E10-E18-E19</f>
        <v>22084</v>
      </c>
      <c r="F34" s="34">
        <f>F9+F10-F18-F19</f>
        <v>21645</v>
      </c>
      <c r="G34" s="34">
        <f>G9+G10-G18-G19</f>
        <v>22985</v>
      </c>
      <c r="H34" s="114">
        <f>H9+H10-H18-H19</f>
        <v>25130.5982214041</v>
      </c>
      <c r="I34" s="34">
        <f>I9+I10-I18-I19</f>
        <v>27046.806335786161</v>
      </c>
      <c r="J34" s="34">
        <f>J9+J10-J18-J19</f>
        <v>29386.355083831681</v>
      </c>
      <c r="K34" s="34">
        <f>K9+K10-K18-K19</f>
        <v>31928.274798583108</v>
      </c>
      <c r="L34" s="34">
        <f>L9+L10-L18-L19</f>
        <v>34526.438160317804</v>
      </c>
    </row>
    <row r="35" spans="1:12" x14ac:dyDescent="0.2">
      <c r="A35" s="2" t="s">
        <v>174</v>
      </c>
      <c r="B35" s="14"/>
      <c r="C35" s="17">
        <f>C34/IS!C6</f>
        <v>0.10573737473384796</v>
      </c>
      <c r="D35" s="17">
        <f>D34/IS!D6</f>
        <v>0.11741740309470113</v>
      </c>
      <c r="E35" s="17">
        <f>E34/IS!E6</f>
        <v>0.14371054857812196</v>
      </c>
      <c r="F35" s="17">
        <f>F34/IS!F6</f>
        <v>0.13279955825510767</v>
      </c>
      <c r="G35" s="17">
        <f>G34/IS!G6</f>
        <v>0.12865938986845787</v>
      </c>
      <c r="H35" s="117">
        <f>H34/IS!H6</f>
        <v>0.1282602739726027</v>
      </c>
      <c r="I35" s="17">
        <f>I34/IS!I6</f>
        <v>0.1282602739726027</v>
      </c>
      <c r="J35" s="17">
        <f>J34/IS!J6</f>
        <v>0.12826027397260276</v>
      </c>
      <c r="K35" s="17">
        <f>K34/IS!K6</f>
        <v>0.1282602739726027</v>
      </c>
      <c r="L35" s="17">
        <f>L34/IS!L6</f>
        <v>0.12826027397260273</v>
      </c>
    </row>
    <row r="36" spans="1:12" x14ac:dyDescent="0.2">
      <c r="A36" s="2" t="s">
        <v>175</v>
      </c>
      <c r="B36" s="5"/>
      <c r="C36" s="5"/>
      <c r="D36" s="5"/>
      <c r="E36" s="5"/>
      <c r="F36" s="5"/>
      <c r="G36" s="5"/>
      <c r="H36" s="104">
        <f>H21-G21-CF!H23</f>
        <v>3951.603962499998</v>
      </c>
      <c r="I36" s="24">
        <f>I21-H21-CF!I23</f>
        <v>4135.9300021406243</v>
      </c>
      <c r="J36" s="24">
        <f>J21-I21-CF!J23</f>
        <v>4596.112648391414</v>
      </c>
      <c r="K36" s="24">
        <f>K21-J21-CF!K23</f>
        <v>4993.6763924772722</v>
      </c>
      <c r="L36" s="24">
        <f>L21-K21-CF!L23</f>
        <v>5340.1518708735921</v>
      </c>
    </row>
    <row r="37" spans="1:12" x14ac:dyDescent="0.2">
      <c r="A37" s="2" t="s">
        <v>176</v>
      </c>
      <c r="B37" s="5"/>
      <c r="C37" s="34">
        <f>C6+C7+C8</f>
        <v>37796</v>
      </c>
      <c r="D37" s="34">
        <f>D6+D7+D8</f>
        <v>31651</v>
      </c>
      <c r="E37" s="34">
        <f>E6+E7+E8</f>
        <v>39409</v>
      </c>
      <c r="F37" s="34">
        <f>F6+F7+F8</f>
        <v>47996</v>
      </c>
      <c r="G37" s="34">
        <f>G6+G7+G8</f>
        <v>44081</v>
      </c>
      <c r="H37" s="114">
        <f>H6+H7+H8</f>
        <v>46436.765158068767</v>
      </c>
      <c r="I37" s="34">
        <f>I6+I7+I8</f>
        <v>55065.144993345682</v>
      </c>
      <c r="J37" s="34">
        <f>J6+J7+J8</f>
        <v>64350.742838323276</v>
      </c>
      <c r="K37" s="34">
        <f>K6+K7+K8</f>
        <v>74559.927645896998</v>
      </c>
      <c r="L37" s="34">
        <f>L6+L7+L8</f>
        <v>85822.503605258331</v>
      </c>
    </row>
    <row r="38" spans="1:12" x14ac:dyDescent="0.2">
      <c r="A38" s="2" t="s">
        <v>177</v>
      </c>
      <c r="B38" s="15"/>
      <c r="C38" s="21">
        <f>C9/IS!C6*365</f>
        <v>68.108368066688044</v>
      </c>
      <c r="D38" s="21">
        <f>D9/IS!D6*365</f>
        <v>63.227837320378555</v>
      </c>
      <c r="E38" s="21">
        <f>E9/IS!E6*365</f>
        <v>71.715006182078483</v>
      </c>
      <c r="F38" s="21">
        <f>F9/IS!F6*365</f>
        <v>69.775262286029815</v>
      </c>
      <c r="G38" s="21">
        <f>G9/IS!G6*365</f>
        <v>71.986621886370003</v>
      </c>
      <c r="H38" s="118">
        <f>H9/IS!H6*365</f>
        <v>72</v>
      </c>
      <c r="I38" s="21">
        <f>I9/IS!I6*365</f>
        <v>72</v>
      </c>
      <c r="J38" s="21">
        <f>J9/IS!J6*365</f>
        <v>72</v>
      </c>
      <c r="K38" s="21">
        <f>K9/IS!K6*365</f>
        <v>72.000000000000014</v>
      </c>
      <c r="L38" s="21">
        <f>L9/IS!L6*365</f>
        <v>72.000000000000014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CEEE-3400-0848-82DF-11C79885227D}">
  <sheetPr>
    <tabColor rgb="FF00B0AB"/>
  </sheetPr>
  <dimension ref="A1:L34"/>
  <sheetViews>
    <sheetView showGridLines="0" workbookViewId="0">
      <pane ySplit="4" topLeftCell="A5" activePane="bottomLeft" state="frozen"/>
      <selection pane="bottomLeft" activeCell="M23" sqref="M23"/>
    </sheetView>
  </sheetViews>
  <sheetFormatPr baseColWidth="10" defaultRowHeight="16" x14ac:dyDescent="0.2"/>
  <cols>
    <col min="1" max="1" width="55" customWidth="1"/>
    <col min="2" max="2" width="2" customWidth="1"/>
    <col min="3" max="12" width="12.33203125" customWidth="1"/>
  </cols>
  <sheetData>
    <row r="1" spans="1:12" ht="18" x14ac:dyDescent="0.2">
      <c r="A1" s="79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74" t="str">
        <f>"₹ crore  |  Historical columns show reported totals; detail lines are forecast only  |  Forecast case: "&amp;Assumptions!$E$4</f>
        <v>₹ crore  |  Historical columns show reported totals; detail lines are forecast only  |  Forecast case: Base case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80" t="s">
        <v>2</v>
      </c>
      <c r="B4" s="80"/>
      <c r="C4" s="81" t="s">
        <v>3</v>
      </c>
      <c r="D4" s="81" t="s">
        <v>4</v>
      </c>
      <c r="E4" s="81" t="s">
        <v>5</v>
      </c>
      <c r="F4" s="81" t="s">
        <v>6</v>
      </c>
      <c r="G4" s="81" t="s">
        <v>7</v>
      </c>
      <c r="H4" s="108" t="s">
        <v>102</v>
      </c>
      <c r="I4" s="81" t="s">
        <v>103</v>
      </c>
      <c r="J4" s="81" t="s">
        <v>104</v>
      </c>
      <c r="K4" s="81" t="s">
        <v>105</v>
      </c>
      <c r="L4" s="81" t="s">
        <v>106</v>
      </c>
    </row>
    <row r="5" spans="1:12" x14ac:dyDescent="0.2">
      <c r="A5" s="75" t="s">
        <v>179</v>
      </c>
      <c r="B5" s="84"/>
      <c r="C5" s="84"/>
      <c r="D5" s="84"/>
      <c r="E5" s="84"/>
      <c r="F5" s="84"/>
      <c r="G5" s="84"/>
      <c r="H5" s="98"/>
      <c r="I5" s="84"/>
      <c r="J5" s="84"/>
      <c r="K5" s="84"/>
      <c r="L5" s="84"/>
    </row>
    <row r="6" spans="1:12" x14ac:dyDescent="0.2">
      <c r="A6" s="1" t="s">
        <v>147</v>
      </c>
      <c r="B6" s="5"/>
      <c r="C6" s="5"/>
      <c r="D6" s="5"/>
      <c r="E6" s="5"/>
      <c r="F6" s="5"/>
      <c r="G6" s="5"/>
      <c r="H6" s="104">
        <f>IS!H23</f>
        <v>31639.615071874989</v>
      </c>
      <c r="I6" s="24">
        <f>IS!I23</f>
        <v>33999.057215924273</v>
      </c>
      <c r="J6" s="24">
        <f>IS!J23</f>
        <v>37499.913790745348</v>
      </c>
      <c r="K6" s="24">
        <f>IS!K23</f>
        <v>41143.811728557645</v>
      </c>
      <c r="L6" s="24">
        <f>IS!L23</f>
        <v>44731.26471798979</v>
      </c>
    </row>
    <row r="7" spans="1:12" x14ac:dyDescent="0.2">
      <c r="A7" s="1" t="s">
        <v>17</v>
      </c>
      <c r="B7" s="5"/>
      <c r="C7" s="5"/>
      <c r="D7" s="5"/>
      <c r="E7" s="5"/>
      <c r="F7" s="5"/>
      <c r="G7" s="5"/>
      <c r="H7" s="104">
        <f>IS!H14</f>
        <v>5486.1628499999997</v>
      </c>
      <c r="I7" s="24">
        <f>IS!I14</f>
        <v>5904.4827673124992</v>
      </c>
      <c r="J7" s="24">
        <f>IS!J14</f>
        <v>6415.2205266850306</v>
      </c>
      <c r="K7" s="24">
        <f>IS!K14</f>
        <v>6970.1371022432868</v>
      </c>
      <c r="L7" s="24">
        <f>IS!L14</f>
        <v>7537.3320089383315</v>
      </c>
    </row>
    <row r="8" spans="1:12" x14ac:dyDescent="0.2">
      <c r="A8" s="1" t="s">
        <v>180</v>
      </c>
      <c r="B8" s="5"/>
      <c r="C8" s="5"/>
      <c r="D8" s="5"/>
      <c r="E8" s="5"/>
      <c r="F8" s="5"/>
      <c r="G8" s="5"/>
      <c r="H8" s="104">
        <f>IS!H29</f>
        <v>1077.6391312499998</v>
      </c>
      <c r="I8" s="24">
        <f>IS!I29</f>
        <v>1159.8091150078121</v>
      </c>
      <c r="J8" s="24">
        <f>IS!J29</f>
        <v>1260.1326034559881</v>
      </c>
      <c r="K8" s="24">
        <f>IS!K29</f>
        <v>1369.1340736549312</v>
      </c>
      <c r="L8" s="24">
        <f>IS!L29</f>
        <v>1480.5473588986008</v>
      </c>
    </row>
    <row r="9" spans="1:12" x14ac:dyDescent="0.2">
      <c r="A9" s="1" t="s">
        <v>181</v>
      </c>
      <c r="B9" s="5"/>
      <c r="C9" s="5"/>
      <c r="D9" s="5"/>
      <c r="E9" s="5"/>
      <c r="F9" s="5"/>
      <c r="G9" s="5"/>
      <c r="H9" s="104">
        <f>BS!G9-BS!H9</f>
        <v>-3416.0709589041071</v>
      </c>
      <c r="I9" s="24">
        <f>BS!H9-BS!I9</f>
        <v>-2947.0679106164316</v>
      </c>
      <c r="J9" s="24">
        <f>BS!I9-BS!J9</f>
        <v>-3598.1525122135281</v>
      </c>
      <c r="K9" s="24">
        <f>BS!J9-BS!K9</f>
        <v>-3909.3927045200107</v>
      </c>
      <c r="L9" s="24">
        <f>BS!K9-BS!L9</f>
        <v>-3995.8936675189107</v>
      </c>
    </row>
    <row r="10" spans="1:12" x14ac:dyDescent="0.2">
      <c r="A10" s="1" t="s">
        <v>182</v>
      </c>
      <c r="B10" s="5"/>
      <c r="C10" s="5"/>
      <c r="D10" s="5"/>
      <c r="E10" s="5"/>
      <c r="F10" s="5"/>
      <c r="G10" s="5"/>
      <c r="H10" s="104">
        <f>BS!G10-BS!H10</f>
        <v>-3019.5178124999948</v>
      </c>
      <c r="I10" s="24">
        <f>BS!H10-BS!I10</f>
        <v>-2614.4994832031225</v>
      </c>
      <c r="J10" s="24">
        <f>BS!I10-BS!J10</f>
        <v>-3192.1109960783215</v>
      </c>
      <c r="K10" s="24">
        <f>BS!J10-BS!K10</f>
        <v>-3468.2285972390964</v>
      </c>
      <c r="L10" s="24">
        <f>BS!K10-BS!L10</f>
        <v>-3544.9681668440317</v>
      </c>
    </row>
    <row r="11" spans="1:12" x14ac:dyDescent="0.2">
      <c r="A11" s="1" t="s">
        <v>183</v>
      </c>
      <c r="B11" s="5"/>
      <c r="C11" s="5"/>
      <c r="D11" s="5"/>
      <c r="E11" s="5"/>
      <c r="F11" s="5"/>
      <c r="G11" s="5"/>
      <c r="H11" s="104">
        <f>BS!H18-BS!G18</f>
        <v>546.2284624999993</v>
      </c>
      <c r="I11" s="24">
        <f>BS!I18-BS!H18</f>
        <v>403.37992026562461</v>
      </c>
      <c r="J11" s="24">
        <f>BS!J18-BS!I18</f>
        <v>492.49712510922745</v>
      </c>
      <c r="K11" s="24">
        <f>BS!K18-BS!J18</f>
        <v>535.09812643117493</v>
      </c>
      <c r="L11" s="24">
        <f>BS!L18-BS!K18</f>
        <v>546.93794574165076</v>
      </c>
    </row>
    <row r="12" spans="1:12" x14ac:dyDescent="0.2">
      <c r="A12" s="1" t="s">
        <v>184</v>
      </c>
      <c r="B12" s="5"/>
      <c r="C12" s="5"/>
      <c r="D12" s="5"/>
      <c r="E12" s="5"/>
      <c r="F12" s="5"/>
      <c r="G12" s="5"/>
      <c r="H12" s="104">
        <f>BS!H19-BS!G19</f>
        <v>3743.7620874999993</v>
      </c>
      <c r="I12" s="24">
        <f>BS!I19-BS!H19</f>
        <v>3241.9793591718699</v>
      </c>
      <c r="J12" s="24">
        <f>BS!J19-BS!I19</f>
        <v>3958.2176351371163</v>
      </c>
      <c r="K12" s="24">
        <f>BS!K19-BS!J19</f>
        <v>4300.6034605764798</v>
      </c>
      <c r="L12" s="24">
        <f>BS!L19-BS!K19</f>
        <v>4395.7605268866027</v>
      </c>
    </row>
    <row r="13" spans="1:12" x14ac:dyDescent="0.2">
      <c r="A13" s="1" t="s">
        <v>185</v>
      </c>
      <c r="B13" s="5"/>
      <c r="C13" s="36"/>
      <c r="D13" s="36"/>
      <c r="E13" s="36"/>
      <c r="F13" s="36"/>
      <c r="G13" s="36"/>
      <c r="H13" s="119">
        <f>SUM(H9:H12)</f>
        <v>-2145.5982214041032</v>
      </c>
      <c r="I13" s="37">
        <f>SUM(I9:I12)</f>
        <v>-1916.2081143820596</v>
      </c>
      <c r="J13" s="37">
        <f>SUM(J9:J12)</f>
        <v>-2339.5487480455058</v>
      </c>
      <c r="K13" s="37">
        <f>SUM(K9:K12)</f>
        <v>-2541.9197147514524</v>
      </c>
      <c r="L13" s="37">
        <f>SUM(L9:L12)</f>
        <v>-2598.1633617346888</v>
      </c>
    </row>
    <row r="14" spans="1:12" x14ac:dyDescent="0.2">
      <c r="A14" s="3" t="s">
        <v>186</v>
      </c>
      <c r="B14" s="29"/>
      <c r="C14" s="38">
        <f>Hist!C68</f>
        <v>23885</v>
      </c>
      <c r="D14" s="38">
        <f>Hist!D68</f>
        <v>22467</v>
      </c>
      <c r="E14" s="38">
        <f>Hist!E68</f>
        <v>25210</v>
      </c>
      <c r="F14" s="38">
        <f>Hist!F68</f>
        <v>35694</v>
      </c>
      <c r="G14" s="38">
        <f>Hist!G68</f>
        <v>33986</v>
      </c>
      <c r="H14" s="110">
        <f>H6+H7+H8+H13</f>
        <v>36057.818831720884</v>
      </c>
      <c r="I14" s="32">
        <f>I6+I7+I8+I13</f>
        <v>39147.140983862519</v>
      </c>
      <c r="J14" s="32">
        <f>J6+J7+J8+J13</f>
        <v>42835.718172840861</v>
      </c>
      <c r="K14" s="32">
        <f>K6+K7+K8+K13</f>
        <v>46941.163189704414</v>
      </c>
      <c r="L14" s="32">
        <f>L6+L7+L8+L13</f>
        <v>51150.980724092035</v>
      </c>
    </row>
    <row r="15" spans="1:12" x14ac:dyDescent="0.2">
      <c r="A15" s="1"/>
      <c r="B15" s="5"/>
      <c r="C15" s="5"/>
      <c r="D15" s="5"/>
      <c r="E15" s="5"/>
      <c r="F15" s="5"/>
      <c r="G15" s="5"/>
      <c r="H15" s="97"/>
      <c r="I15" s="5"/>
      <c r="J15" s="5"/>
      <c r="K15" s="5"/>
      <c r="L15" s="5"/>
    </row>
    <row r="16" spans="1:12" x14ac:dyDescent="0.2">
      <c r="A16" s="75" t="s">
        <v>187</v>
      </c>
      <c r="B16" s="84"/>
      <c r="C16" s="84"/>
      <c r="D16" s="84"/>
      <c r="E16" s="84"/>
      <c r="F16" s="84"/>
      <c r="G16" s="84"/>
      <c r="H16" s="98"/>
      <c r="I16" s="84"/>
      <c r="J16" s="84"/>
      <c r="K16" s="84"/>
      <c r="L16" s="84"/>
    </row>
    <row r="17" spans="1:12" x14ac:dyDescent="0.2">
      <c r="A17" s="1" t="s">
        <v>188</v>
      </c>
      <c r="B17" s="5"/>
      <c r="C17" s="24">
        <f>Hist!C69</f>
        <v>-2161</v>
      </c>
      <c r="D17" s="24">
        <f>Hist!D69</f>
        <v>-2579</v>
      </c>
      <c r="E17" s="24">
        <f>Hist!E69</f>
        <v>-2201</v>
      </c>
      <c r="F17" s="24">
        <f>Hist!F69</f>
        <v>-2237</v>
      </c>
      <c r="G17" s="24">
        <f>Hist!G69</f>
        <v>-2727</v>
      </c>
      <c r="H17" s="104">
        <f>-IS!H6*Assumptions!H14</f>
        <v>-3134.9501999999998</v>
      </c>
      <c r="I17" s="24">
        <f>-IS!I6*Assumptions!I14</f>
        <v>-3373.9901527499997</v>
      </c>
      <c r="J17" s="24">
        <f>-IS!J6*Assumptions!J14</f>
        <v>-3665.8403009628746</v>
      </c>
      <c r="K17" s="24">
        <f>-IS!K6*Assumptions!K14</f>
        <v>-3982.9354869961635</v>
      </c>
      <c r="L17" s="24">
        <f>-IS!L6*Assumptions!L14</f>
        <v>-4307.046862250475</v>
      </c>
    </row>
    <row r="18" spans="1:12" x14ac:dyDescent="0.2">
      <c r="A18" s="1" t="s">
        <v>189</v>
      </c>
      <c r="B18" s="5"/>
      <c r="C18" s="24">
        <f>Hist!C70</f>
        <v>-53</v>
      </c>
      <c r="D18" s="24">
        <f>Hist!D70</f>
        <v>-970</v>
      </c>
      <c r="E18" s="24">
        <f>Hist!E70</f>
        <v>-101</v>
      </c>
      <c r="F18" s="24">
        <f>Hist!F70</f>
        <v>-3155</v>
      </c>
      <c r="G18" s="24">
        <f>Hist!G70</f>
        <v>-650</v>
      </c>
      <c r="H18" s="104">
        <f>-Assumptions!H30</f>
        <v>-5311</v>
      </c>
      <c r="I18" s="24">
        <f>-Assumptions!I30</f>
        <v>0</v>
      </c>
      <c r="J18" s="24">
        <f>-Assumptions!J30</f>
        <v>0</v>
      </c>
      <c r="K18" s="24">
        <f>-Assumptions!K30</f>
        <v>0</v>
      </c>
      <c r="L18" s="24">
        <f>-Assumptions!L30</f>
        <v>0</v>
      </c>
    </row>
    <row r="19" spans="1:12" x14ac:dyDescent="0.2">
      <c r="A19" s="1" t="s">
        <v>190</v>
      </c>
      <c r="B19" s="5"/>
      <c r="C19" s="5"/>
      <c r="D19" s="5"/>
      <c r="E19" s="5"/>
      <c r="F19" s="5"/>
      <c r="G19" s="5"/>
      <c r="H19" s="104">
        <f>-(BS!H7-BS!G7)-(BS!H8-BS!G8)</f>
        <v>0</v>
      </c>
      <c r="I19" s="24">
        <f>-(BS!I7-BS!H7)-(BS!I8-BS!H8)</f>
        <v>0</v>
      </c>
      <c r="J19" s="24">
        <f>-(BS!J7-BS!I7)-(BS!J8-BS!I8)</f>
        <v>0</v>
      </c>
      <c r="K19" s="24">
        <f>-(BS!K7-BS!J7)-(BS!K8-BS!J8)</f>
        <v>0</v>
      </c>
      <c r="L19" s="24">
        <f>-(BS!L7-BS!K7)-(BS!L8-BS!K8)</f>
        <v>0</v>
      </c>
    </row>
    <row r="20" spans="1:12" x14ac:dyDescent="0.2">
      <c r="A20" s="3" t="s">
        <v>191</v>
      </c>
      <c r="B20" s="29"/>
      <c r="C20" s="38">
        <f>Hist!C71</f>
        <v>-6416</v>
      </c>
      <c r="D20" s="38">
        <f>Hist!D71</f>
        <v>-1209</v>
      </c>
      <c r="E20" s="38">
        <f>Hist!E71</f>
        <v>-5009</v>
      </c>
      <c r="F20" s="38">
        <f>Hist!F71</f>
        <v>-1946</v>
      </c>
      <c r="G20" s="38">
        <f>Hist!G71</f>
        <v>1946</v>
      </c>
      <c r="H20" s="110">
        <f>SUM(H17:H19)</f>
        <v>-8445.9501999999993</v>
      </c>
      <c r="I20" s="32">
        <f>SUM(I17:I19)</f>
        <v>-3373.9901527499997</v>
      </c>
      <c r="J20" s="32">
        <f>SUM(J17:J19)</f>
        <v>-3665.8403009628746</v>
      </c>
      <c r="K20" s="32">
        <f>SUM(K17:K19)</f>
        <v>-3982.9354869961635</v>
      </c>
      <c r="L20" s="32">
        <f>SUM(L17:L19)</f>
        <v>-4307.046862250475</v>
      </c>
    </row>
    <row r="21" spans="1:12" x14ac:dyDescent="0.2">
      <c r="A21" s="1"/>
      <c r="B21" s="5"/>
      <c r="C21" s="5"/>
      <c r="D21" s="5"/>
      <c r="E21" s="5"/>
      <c r="F21" s="5"/>
      <c r="G21" s="5"/>
      <c r="H21" s="97"/>
      <c r="I21" s="5"/>
      <c r="J21" s="5"/>
      <c r="K21" s="5"/>
      <c r="L21" s="5"/>
    </row>
    <row r="22" spans="1:12" x14ac:dyDescent="0.2">
      <c r="A22" s="75" t="s">
        <v>192</v>
      </c>
      <c r="B22" s="84"/>
      <c r="C22" s="84"/>
      <c r="D22" s="84"/>
      <c r="E22" s="84"/>
      <c r="F22" s="84"/>
      <c r="G22" s="84"/>
      <c r="H22" s="98"/>
      <c r="I22" s="84"/>
      <c r="J22" s="84"/>
      <c r="K22" s="84"/>
      <c r="L22" s="84"/>
    </row>
    <row r="23" spans="1:12" x14ac:dyDescent="0.2">
      <c r="A23" s="1" t="s">
        <v>193</v>
      </c>
      <c r="B23" s="5"/>
      <c r="C23" s="24">
        <f>Hist!C72</f>
        <v>-915</v>
      </c>
      <c r="D23" s="24">
        <f>Hist!D72</f>
        <v>-1231</v>
      </c>
      <c r="E23" s="24">
        <f>Hist!E72</f>
        <v>-2024</v>
      </c>
      <c r="F23" s="24">
        <f>Hist!F72</f>
        <v>-2355</v>
      </c>
      <c r="G23" s="24">
        <f>Hist!G72</f>
        <v>-2824</v>
      </c>
      <c r="H23" s="104">
        <f>-IS!H6*Assumptions!H24</f>
        <v>-3134.9501999999998</v>
      </c>
      <c r="I23" s="24">
        <f>-IS!I6*Assumptions!I24</f>
        <v>-3373.9901527499997</v>
      </c>
      <c r="J23" s="24">
        <f>-IS!J6*Assumptions!J24</f>
        <v>-3665.8403009628746</v>
      </c>
      <c r="K23" s="24">
        <f>-IS!K6*Assumptions!K24</f>
        <v>-3982.9354869961635</v>
      </c>
      <c r="L23" s="24">
        <f>-IS!L6*Assumptions!L24</f>
        <v>-4307.046862250475</v>
      </c>
    </row>
    <row r="24" spans="1:12" x14ac:dyDescent="0.2">
      <c r="A24" s="1" t="s">
        <v>194</v>
      </c>
      <c r="B24" s="5"/>
      <c r="C24" s="24">
        <f>Hist!C73</f>
        <v>-12731</v>
      </c>
      <c r="D24" s="24">
        <f>Hist!D73</f>
        <v>-13653</v>
      </c>
      <c r="E24" s="24">
        <f>Hist!E73</f>
        <v>-14731</v>
      </c>
      <c r="F24" s="24">
        <f>Hist!F73</f>
        <v>-20289</v>
      </c>
      <c r="G24" s="24">
        <f>Hist!G73</f>
        <v>-18656</v>
      </c>
      <c r="H24" s="104">
        <f>-IS!H25*Assumptions!H28</f>
        <v>-22121.153273652115</v>
      </c>
      <c r="I24" s="24">
        <f>-IS!I25*Assumptions!I28</f>
        <v>-23770.780843085609</v>
      </c>
      <c r="J24" s="24">
        <f>-IS!J25*Assumptions!J28</f>
        <v>-26218.439725937518</v>
      </c>
      <c r="K24" s="24">
        <f>-IS!K25*Assumptions!K28</f>
        <v>-28766.107408138363</v>
      </c>
      <c r="L24" s="24">
        <f>-IS!L25*Assumptions!L28</f>
        <v>-31274.311040229743</v>
      </c>
    </row>
    <row r="25" spans="1:12" x14ac:dyDescent="0.2">
      <c r="A25" s="1" t="s">
        <v>195</v>
      </c>
      <c r="B25" s="5"/>
      <c r="C25" s="24">
        <f>Hist!C74</f>
        <v>-11125</v>
      </c>
      <c r="D25" s="24">
        <f>Hist!D74</f>
        <v>-11499</v>
      </c>
      <c r="E25" s="24">
        <f>Hist!E74</f>
        <v>0</v>
      </c>
      <c r="F25" s="24">
        <f>Hist!F74</f>
        <v>0</v>
      </c>
      <c r="G25" s="24">
        <f>Hist!G74</f>
        <v>-18058</v>
      </c>
      <c r="H25" s="104">
        <f>-Assumptions!H29</f>
        <v>0</v>
      </c>
      <c r="I25" s="24">
        <f>-Assumptions!I29</f>
        <v>0</v>
      </c>
      <c r="J25" s="24">
        <f>-Assumptions!J29</f>
        <v>0</v>
      </c>
      <c r="K25" s="24">
        <f>-Assumptions!K29</f>
        <v>0</v>
      </c>
      <c r="L25" s="24">
        <f>-Assumptions!L29</f>
        <v>0</v>
      </c>
    </row>
    <row r="26" spans="1:12" x14ac:dyDescent="0.2">
      <c r="A26" s="3" t="s">
        <v>196</v>
      </c>
      <c r="B26" s="29"/>
      <c r="C26" s="38">
        <f>Hist!C75</f>
        <v>-24642</v>
      </c>
      <c r="D26" s="38">
        <f>Hist!D75</f>
        <v>-26695</v>
      </c>
      <c r="E26" s="38">
        <f>Hist!E75</f>
        <v>-17504</v>
      </c>
      <c r="F26" s="38">
        <f>Hist!F75</f>
        <v>-24161</v>
      </c>
      <c r="G26" s="38">
        <f>Hist!G75</f>
        <v>-39786</v>
      </c>
      <c r="H26" s="110">
        <f>SUM(H23:H25)</f>
        <v>-25256.103473652114</v>
      </c>
      <c r="I26" s="32">
        <f>SUM(I23:I25)</f>
        <v>-27144.77099583561</v>
      </c>
      <c r="J26" s="32">
        <f>SUM(J23:J25)</f>
        <v>-29884.280026900393</v>
      </c>
      <c r="K26" s="32">
        <f>SUM(K23:K25)</f>
        <v>-32749.042895134527</v>
      </c>
      <c r="L26" s="32">
        <f>SUM(L23:L25)</f>
        <v>-35581.357902480217</v>
      </c>
    </row>
    <row r="27" spans="1:12" x14ac:dyDescent="0.2">
      <c r="A27" s="1"/>
      <c r="B27" s="5"/>
      <c r="C27" s="5"/>
      <c r="D27" s="5"/>
      <c r="E27" s="5"/>
      <c r="F27" s="5"/>
      <c r="G27" s="5"/>
      <c r="H27" s="97"/>
      <c r="I27" s="5"/>
      <c r="J27" s="5"/>
      <c r="K27" s="5"/>
      <c r="L27" s="5"/>
    </row>
    <row r="28" spans="1:12" x14ac:dyDescent="0.2">
      <c r="A28" s="3" t="s">
        <v>197</v>
      </c>
      <c r="B28" s="29"/>
      <c r="C28" s="35">
        <f>C14+C20+C26</f>
        <v>-7173</v>
      </c>
      <c r="D28" s="35">
        <f>D14+D20+D26</f>
        <v>-5437</v>
      </c>
      <c r="E28" s="35">
        <f>E14+E20+E26</f>
        <v>2697</v>
      </c>
      <c r="F28" s="35">
        <f>F14+F20+F26</f>
        <v>9587</v>
      </c>
      <c r="G28" s="35">
        <f>G14+G20+G26</f>
        <v>-3854</v>
      </c>
      <c r="H28" s="115">
        <f>H14+H20+H26</f>
        <v>2355.7651580687707</v>
      </c>
      <c r="I28" s="35">
        <f>I14+I20+I26</f>
        <v>8628.3798352769118</v>
      </c>
      <c r="J28" s="35">
        <f>J14+J20+J26</f>
        <v>9285.5978449775939</v>
      </c>
      <c r="K28" s="35">
        <f>K14+K20+K26</f>
        <v>10209.184807573725</v>
      </c>
      <c r="L28" s="35">
        <f>L14+L20+L26</f>
        <v>11262.57595936134</v>
      </c>
    </row>
    <row r="29" spans="1:12" x14ac:dyDescent="0.2">
      <c r="A29" s="1" t="s">
        <v>77</v>
      </c>
      <c r="B29" s="5"/>
      <c r="C29" s="24">
        <f>Hist!C76</f>
        <v>-69</v>
      </c>
      <c r="D29" s="24">
        <f>Hist!D76</f>
        <v>138</v>
      </c>
      <c r="E29" s="24">
        <f>Hist!E76</f>
        <v>-84</v>
      </c>
      <c r="F29" s="24">
        <f>Hist!F76</f>
        <v>82</v>
      </c>
      <c r="G29" s="24">
        <f>Hist!G76</f>
        <v>1600</v>
      </c>
      <c r="H29" s="111">
        <v>0</v>
      </c>
      <c r="I29" s="7">
        <v>0</v>
      </c>
      <c r="J29" s="7">
        <v>0</v>
      </c>
      <c r="K29" s="7">
        <v>0</v>
      </c>
      <c r="L29" s="7">
        <v>0</v>
      </c>
    </row>
    <row r="30" spans="1:12" x14ac:dyDescent="0.2">
      <c r="A30" s="1" t="s">
        <v>198</v>
      </c>
      <c r="B30" s="5"/>
      <c r="C30" s="24">
        <f>Hist!C77</f>
        <v>24714</v>
      </c>
      <c r="D30" s="24">
        <f>Hist!D77</f>
        <v>17472</v>
      </c>
      <c r="E30" s="24">
        <f>Hist!E77</f>
        <v>12173</v>
      </c>
      <c r="F30" s="24">
        <f>Hist!F77</f>
        <v>14786</v>
      </c>
      <c r="G30" s="24">
        <f>Hist!G77</f>
        <v>24455</v>
      </c>
      <c r="H30" s="114">
        <f>G31</f>
        <v>22201</v>
      </c>
      <c r="I30" s="34">
        <f>H31</f>
        <v>24556.765158068771</v>
      </c>
      <c r="J30" s="34">
        <f>I31</f>
        <v>33185.144993345682</v>
      </c>
      <c r="K30" s="34">
        <f>J31</f>
        <v>42470.742838323276</v>
      </c>
      <c r="L30" s="34">
        <f>K31</f>
        <v>52679.927645896998</v>
      </c>
    </row>
    <row r="31" spans="1:12" x14ac:dyDescent="0.2">
      <c r="A31" s="3" t="s">
        <v>199</v>
      </c>
      <c r="B31" s="29"/>
      <c r="C31" s="32">
        <f>C30+C28+C29</f>
        <v>17472</v>
      </c>
      <c r="D31" s="32">
        <f>D30+D28+D29</f>
        <v>12173</v>
      </c>
      <c r="E31" s="32">
        <f>E30+E28+E29</f>
        <v>14786</v>
      </c>
      <c r="F31" s="32">
        <f>F30+F28+F29</f>
        <v>24455</v>
      </c>
      <c r="G31" s="32">
        <f>G30+G28+G29</f>
        <v>22201</v>
      </c>
      <c r="H31" s="110">
        <f>H30+H28+H29</f>
        <v>24556.765158068771</v>
      </c>
      <c r="I31" s="32">
        <f>I30+I28+I29</f>
        <v>33185.144993345682</v>
      </c>
      <c r="J31" s="32">
        <f>J30+J28+J29</f>
        <v>42470.742838323276</v>
      </c>
      <c r="K31" s="32">
        <f>K30+K28+K29</f>
        <v>52679.927645896998</v>
      </c>
      <c r="L31" s="32">
        <f>L30+L28+L29</f>
        <v>63942.503605258338</v>
      </c>
    </row>
    <row r="32" spans="1:12" x14ac:dyDescent="0.2">
      <c r="A32" s="1"/>
      <c r="B32" s="5"/>
      <c r="C32" s="5"/>
      <c r="D32" s="5"/>
      <c r="E32" s="5"/>
      <c r="F32" s="5"/>
      <c r="G32" s="5"/>
      <c r="H32" s="97"/>
      <c r="I32" s="5"/>
      <c r="J32" s="5"/>
      <c r="K32" s="5"/>
      <c r="L32" s="5"/>
    </row>
    <row r="33" spans="1:12" x14ac:dyDescent="0.2">
      <c r="A33" s="2" t="s">
        <v>200</v>
      </c>
      <c r="B33" s="5"/>
      <c r="C33" s="34">
        <f>C14+C17</f>
        <v>21724</v>
      </c>
      <c r="D33" s="34">
        <f>D14+D17</f>
        <v>19888</v>
      </c>
      <c r="E33" s="34">
        <f>E14+E17</f>
        <v>23009</v>
      </c>
      <c r="F33" s="34">
        <f>F14+F17</f>
        <v>33457</v>
      </c>
      <c r="G33" s="34">
        <f>G14+G17</f>
        <v>31259</v>
      </c>
      <c r="H33" s="114">
        <f>H14+H17</f>
        <v>32922.868631720885</v>
      </c>
      <c r="I33" s="34">
        <f>I14+I17</f>
        <v>35773.150831112522</v>
      </c>
      <c r="J33" s="34">
        <f>J14+J17</f>
        <v>39169.877871877987</v>
      </c>
      <c r="K33" s="34">
        <f>K14+K17</f>
        <v>42958.227702708253</v>
      </c>
      <c r="L33" s="34">
        <f>L14+L17</f>
        <v>46843.933861841557</v>
      </c>
    </row>
    <row r="34" spans="1:12" x14ac:dyDescent="0.2">
      <c r="A34" s="2" t="s">
        <v>201</v>
      </c>
      <c r="B34" s="14"/>
      <c r="C34" s="17">
        <f>C33/IS!C23</f>
        <v>0.98094464011559646</v>
      </c>
      <c r="D34" s="17">
        <f>D33/IS!D23</f>
        <v>0.8249543719926995</v>
      </c>
      <c r="E34" s="17">
        <f>E33/IS!E23</f>
        <v>0.87660012191405057</v>
      </c>
      <c r="F34" s="17">
        <f>F33/IS!F23</f>
        <v>1.2507289719626169</v>
      </c>
      <c r="G34" s="17">
        <f>G33/IS!G23</f>
        <v>1.0605618511230237</v>
      </c>
      <c r="H34" s="117">
        <f>H33/IS!H23</f>
        <v>1.0405584441192082</v>
      </c>
      <c r="I34" s="17">
        <f>I33/IS!I23</f>
        <v>1.0521806708909949</v>
      </c>
      <c r="J34" s="17">
        <f>J33/IS!J23</f>
        <v>1.044532477873183</v>
      </c>
      <c r="K34" s="17">
        <f>K33/IS!K23</f>
        <v>1.0440993650787886</v>
      </c>
      <c r="L34" s="17">
        <f>L33/IS!L23</f>
        <v>1.0472302573417314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9AB3-A13E-2744-A953-E1A8E7792D74}">
  <sheetPr>
    <tabColor rgb="FF00B0AB"/>
  </sheetPr>
  <dimension ref="A1:F25"/>
  <sheetViews>
    <sheetView showGridLines="0" workbookViewId="0">
      <selection activeCell="I12" sqref="I12"/>
    </sheetView>
  </sheetViews>
  <sheetFormatPr baseColWidth="10" defaultRowHeight="16" x14ac:dyDescent="0.2"/>
  <cols>
    <col min="1" max="1" width="55" customWidth="1"/>
    <col min="2" max="2" width="2" customWidth="1"/>
    <col min="3" max="6" width="12.33203125" customWidth="1"/>
  </cols>
  <sheetData>
    <row r="1" spans="1:6" ht="18" x14ac:dyDescent="0.2">
      <c r="A1" s="79" t="s">
        <v>202</v>
      </c>
      <c r="B1" s="1"/>
      <c r="C1" s="1"/>
      <c r="D1" s="1"/>
      <c r="E1" s="1"/>
      <c r="F1" s="1"/>
    </row>
    <row r="2" spans="1:6" x14ac:dyDescent="0.2">
      <c r="A2" s="74" t="s">
        <v>203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75" t="s">
        <v>204</v>
      </c>
      <c r="B4" s="75"/>
      <c r="C4" s="75"/>
      <c r="D4" s="75"/>
      <c r="E4" s="145"/>
      <c r="F4" s="145"/>
    </row>
    <row r="5" spans="1:6" x14ac:dyDescent="0.2">
      <c r="A5" s="1" t="s">
        <v>205</v>
      </c>
      <c r="B5" s="14"/>
      <c r="C5" s="14"/>
      <c r="D5" s="23">
        <v>7.3999999999999996E-2</v>
      </c>
      <c r="E5" s="14"/>
      <c r="F5" s="14"/>
    </row>
    <row r="6" spans="1:6" x14ac:dyDescent="0.2">
      <c r="A6" s="1" t="s">
        <v>206</v>
      </c>
      <c r="B6" s="6"/>
      <c r="C6" s="6"/>
      <c r="D6" s="39">
        <v>0.85</v>
      </c>
      <c r="E6" s="6"/>
      <c r="F6" s="6"/>
    </row>
    <row r="7" spans="1:6" x14ac:dyDescent="0.2">
      <c r="A7" s="1" t="s">
        <v>207</v>
      </c>
      <c r="B7" s="14"/>
      <c r="C7" s="14"/>
      <c r="D7" s="23">
        <v>0.06</v>
      </c>
      <c r="E7" s="14"/>
      <c r="F7" s="14"/>
    </row>
    <row r="8" spans="1:6" x14ac:dyDescent="0.2">
      <c r="A8" s="3" t="s">
        <v>208</v>
      </c>
      <c r="B8" s="16"/>
      <c r="C8" s="16"/>
      <c r="D8" s="20">
        <f>D5+D6*D7</f>
        <v>0.125</v>
      </c>
      <c r="E8" s="16"/>
      <c r="F8" s="16"/>
    </row>
    <row r="9" spans="1:6" x14ac:dyDescent="0.2">
      <c r="A9" s="1"/>
      <c r="B9" s="5"/>
      <c r="C9" s="5"/>
      <c r="D9" s="5"/>
      <c r="E9" s="5"/>
      <c r="F9" s="5"/>
    </row>
    <row r="10" spans="1:6" x14ac:dyDescent="0.2">
      <c r="A10" s="75" t="s">
        <v>209</v>
      </c>
      <c r="B10" s="84"/>
      <c r="C10" s="84"/>
      <c r="D10" s="84"/>
      <c r="E10" s="146"/>
      <c r="F10" s="146"/>
    </row>
    <row r="11" spans="1:6" x14ac:dyDescent="0.2">
      <c r="A11" s="1" t="s">
        <v>210</v>
      </c>
      <c r="B11" s="14"/>
      <c r="C11" s="14"/>
      <c r="D11" s="17">
        <f>Assumptions!H26</f>
        <v>0.05</v>
      </c>
      <c r="E11" s="14"/>
      <c r="F11" s="14"/>
    </row>
    <row r="12" spans="1:6" x14ac:dyDescent="0.2">
      <c r="A12" s="1" t="s">
        <v>211</v>
      </c>
      <c r="B12" s="14"/>
      <c r="C12" s="14"/>
      <c r="D12" s="17">
        <f>Assumptions!H16</f>
        <v>0.27500000000000002</v>
      </c>
      <c r="E12" s="14"/>
      <c r="F12" s="14"/>
    </row>
    <row r="13" spans="1:6" x14ac:dyDescent="0.2">
      <c r="A13" s="3" t="s">
        <v>212</v>
      </c>
      <c r="B13" s="16"/>
      <c r="C13" s="16"/>
      <c r="D13" s="20">
        <f>D11*(1-D12)</f>
        <v>3.6249999999999998E-2</v>
      </c>
      <c r="E13" s="16"/>
      <c r="F13" s="16"/>
    </row>
    <row r="14" spans="1:6" x14ac:dyDescent="0.2">
      <c r="A14" s="1"/>
      <c r="B14" s="5"/>
      <c r="C14" s="5"/>
      <c r="D14" s="5"/>
      <c r="E14" s="5"/>
      <c r="F14" s="5"/>
    </row>
    <row r="15" spans="1:6" x14ac:dyDescent="0.2">
      <c r="A15" s="75" t="s">
        <v>213</v>
      </c>
      <c r="B15" s="84"/>
      <c r="C15" s="84"/>
      <c r="D15" s="84"/>
      <c r="E15" s="146"/>
      <c r="F15" s="146"/>
    </row>
    <row r="16" spans="1:6" x14ac:dyDescent="0.2">
      <c r="A16" s="1" t="s">
        <v>214</v>
      </c>
      <c r="B16" s="6"/>
      <c r="C16" s="6"/>
      <c r="D16" s="26">
        <f>DCF!D7</f>
        <v>1153.3499999999999</v>
      </c>
      <c r="E16" s="6"/>
      <c r="F16" s="6"/>
    </row>
    <row r="17" spans="1:6" x14ac:dyDescent="0.2">
      <c r="A17" s="1" t="s">
        <v>151</v>
      </c>
      <c r="B17" s="28"/>
      <c r="C17" s="28"/>
      <c r="D17" s="33">
        <f>Hist!C87</f>
        <v>405.26864893062071</v>
      </c>
      <c r="E17" s="28"/>
      <c r="F17" s="28"/>
    </row>
    <row r="18" spans="1:6" x14ac:dyDescent="0.2">
      <c r="A18" s="3" t="s">
        <v>215</v>
      </c>
      <c r="B18" s="29"/>
      <c r="C18" s="29"/>
      <c r="D18" s="59">
        <f>D16*D17</f>
        <v>467416.59624413139</v>
      </c>
      <c r="E18" s="29"/>
      <c r="F18" s="29"/>
    </row>
    <row r="19" spans="1:6" x14ac:dyDescent="0.2">
      <c r="A19" s="1" t="s">
        <v>216</v>
      </c>
      <c r="B19" s="5"/>
      <c r="C19" s="5"/>
      <c r="D19" s="51">
        <f>BS!G21</f>
        <v>9176</v>
      </c>
      <c r="E19" s="5"/>
      <c r="F19" s="5"/>
    </row>
    <row r="20" spans="1:6" x14ac:dyDescent="0.2">
      <c r="A20" s="3" t="s">
        <v>217</v>
      </c>
      <c r="B20" s="29"/>
      <c r="C20" s="29"/>
      <c r="D20" s="59">
        <f>D18+D19</f>
        <v>476592.59624413139</v>
      </c>
      <c r="E20" s="29"/>
      <c r="F20" s="29"/>
    </row>
    <row r="21" spans="1:6" x14ac:dyDescent="0.2">
      <c r="A21" s="1" t="s">
        <v>218</v>
      </c>
      <c r="B21" s="14"/>
      <c r="C21" s="14"/>
      <c r="D21" s="18">
        <f>D18/D20</f>
        <v>0.98074665852488474</v>
      </c>
      <c r="E21" s="14"/>
      <c r="F21" s="14"/>
    </row>
    <row r="22" spans="1:6" x14ac:dyDescent="0.2">
      <c r="A22" s="1" t="s">
        <v>219</v>
      </c>
      <c r="B22" s="14"/>
      <c r="C22" s="14"/>
      <c r="D22" s="18">
        <f>D19/D20</f>
        <v>1.9253341475115267E-2</v>
      </c>
      <c r="E22" s="14"/>
      <c r="F22" s="14"/>
    </row>
    <row r="23" spans="1:6" x14ac:dyDescent="0.2">
      <c r="A23" s="1"/>
      <c r="B23" s="5"/>
      <c r="C23" s="5"/>
      <c r="D23" s="5"/>
      <c r="E23" s="5"/>
      <c r="F23" s="5"/>
    </row>
    <row r="24" spans="1:6" x14ac:dyDescent="0.2">
      <c r="A24" s="75" t="s">
        <v>220</v>
      </c>
      <c r="B24" s="84"/>
      <c r="C24" s="84"/>
      <c r="D24" s="84"/>
      <c r="E24" s="146"/>
      <c r="F24" s="146"/>
    </row>
    <row r="25" spans="1:6" x14ac:dyDescent="0.2">
      <c r="A25" s="3" t="s">
        <v>221</v>
      </c>
      <c r="B25" s="16"/>
      <c r="C25" s="16"/>
      <c r="D25" s="87">
        <f>D21*D8+D22*D13</f>
        <v>0.12329126594408352</v>
      </c>
      <c r="E25" s="16"/>
      <c r="F25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9761-99FA-1048-8BDF-14C82742A06C}">
  <sheetPr>
    <tabColor rgb="FF115E6E"/>
  </sheetPr>
  <dimension ref="A1:L100"/>
  <sheetViews>
    <sheetView showGridLines="0" workbookViewId="0"/>
  </sheetViews>
  <sheetFormatPr baseColWidth="10" defaultRowHeight="16" x14ac:dyDescent="0.2"/>
  <cols>
    <col min="1" max="1" width="55" customWidth="1"/>
    <col min="2" max="2" width="2" customWidth="1"/>
    <col min="3" max="12" width="12.33203125" customWidth="1"/>
  </cols>
  <sheetData>
    <row r="1" spans="1:12" ht="18" x14ac:dyDescent="0.2">
      <c r="A1" s="79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74" t="str">
        <f>"₹ crore unless stated  |  Unlevered FCF, mid-year convention, perpetuity-growth terminal value  |  Case: "&amp;Assumptions!$E$4</f>
        <v>₹ crore unless stated  |  Unlevered FCF, mid-year convention, perpetuity-growth terminal value  |  Case: Base case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75" t="s">
        <v>223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x14ac:dyDescent="0.2">
      <c r="A5" s="1" t="s">
        <v>224</v>
      </c>
      <c r="B5" s="5"/>
      <c r="C5" s="5"/>
      <c r="D5" s="40">
        <f>DATE(2026,3,31)</f>
        <v>46112</v>
      </c>
      <c r="E5" s="5"/>
      <c r="F5" s="5"/>
      <c r="G5" s="5"/>
      <c r="H5" s="5"/>
      <c r="I5" s="5"/>
      <c r="J5" s="5"/>
      <c r="K5" s="5"/>
      <c r="L5" s="5"/>
    </row>
    <row r="6" spans="1:12" x14ac:dyDescent="0.2">
      <c r="A6" s="1" t="s">
        <v>225</v>
      </c>
      <c r="B6" s="5"/>
      <c r="C6" s="5"/>
      <c r="D6" s="40">
        <f>DATE(2026,10,23)</f>
        <v>46318</v>
      </c>
      <c r="E6" s="5"/>
      <c r="F6" s="5"/>
      <c r="G6" s="5"/>
      <c r="H6" s="5"/>
      <c r="I6" s="5"/>
      <c r="J6" s="5"/>
      <c r="K6" s="5"/>
      <c r="L6" s="5"/>
    </row>
    <row r="7" spans="1:12" x14ac:dyDescent="0.2">
      <c r="A7" s="1" t="s">
        <v>226</v>
      </c>
      <c r="B7" s="5"/>
      <c r="C7" s="5"/>
      <c r="D7" s="39">
        <v>1153.3499999999999</v>
      </c>
      <c r="E7" s="5"/>
      <c r="F7" s="5"/>
      <c r="G7" s="5"/>
      <c r="H7" s="5"/>
      <c r="I7" s="5"/>
      <c r="J7" s="5"/>
      <c r="K7" s="5"/>
      <c r="L7" s="5"/>
    </row>
    <row r="8" spans="1:12" x14ac:dyDescent="0.2">
      <c r="A8" s="1" t="s">
        <v>151</v>
      </c>
      <c r="B8" s="5"/>
      <c r="C8" s="5"/>
      <c r="D8" s="33">
        <f>Hist!C87</f>
        <v>405.26864893062071</v>
      </c>
      <c r="E8" s="5"/>
      <c r="F8" s="5"/>
      <c r="G8" s="5"/>
      <c r="H8" s="5"/>
      <c r="I8" s="5"/>
      <c r="J8" s="5"/>
      <c r="K8" s="5"/>
      <c r="L8" s="5"/>
    </row>
    <row r="9" spans="1:12" x14ac:dyDescent="0.2">
      <c r="A9" s="1" t="s">
        <v>220</v>
      </c>
      <c r="B9" s="5"/>
      <c r="C9" s="5"/>
      <c r="D9" s="41">
        <f>WACC!D25</f>
        <v>0.12329126594408352</v>
      </c>
      <c r="E9" s="5"/>
      <c r="F9" s="5"/>
      <c r="G9" s="5"/>
      <c r="H9" s="5"/>
      <c r="I9" s="5"/>
      <c r="J9" s="5"/>
      <c r="K9" s="5"/>
      <c r="L9" s="5"/>
    </row>
    <row r="10" spans="1:12" x14ac:dyDescent="0.2">
      <c r="A10" s="1" t="s">
        <v>227</v>
      </c>
      <c r="B10" s="5"/>
      <c r="C10" s="5"/>
      <c r="D10" s="42">
        <v>0.05</v>
      </c>
      <c r="E10" s="5"/>
      <c r="F10" s="5"/>
      <c r="G10" s="5"/>
      <c r="H10" s="5"/>
      <c r="I10" s="5"/>
      <c r="J10" s="5"/>
      <c r="K10" s="5"/>
      <c r="L10" s="5"/>
    </row>
    <row r="11" spans="1:12" x14ac:dyDescent="0.2">
      <c r="A11" s="1" t="s">
        <v>228</v>
      </c>
      <c r="B11" s="5"/>
      <c r="C11" s="5"/>
      <c r="D11" s="41">
        <f>WACC!D8</f>
        <v>0.125</v>
      </c>
      <c r="E11" s="5"/>
      <c r="F11" s="5"/>
      <c r="G11" s="5"/>
      <c r="H11" s="5"/>
      <c r="I11" s="5"/>
      <c r="J11" s="5"/>
      <c r="K11" s="5"/>
      <c r="L11" s="5"/>
    </row>
    <row r="12" spans="1:12" x14ac:dyDescent="0.2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">
      <c r="A14" s="75" t="s">
        <v>229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</row>
    <row r="15" spans="1:12" x14ac:dyDescent="0.2">
      <c r="A15" s="88" t="s">
        <v>230</v>
      </c>
      <c r="B15" s="86"/>
      <c r="C15" s="86"/>
      <c r="D15" s="86"/>
      <c r="E15" s="86"/>
      <c r="F15" s="86"/>
      <c r="G15" s="89" t="s">
        <v>7</v>
      </c>
      <c r="H15" s="86" t="s">
        <v>102</v>
      </c>
      <c r="I15" s="86" t="s">
        <v>103</v>
      </c>
      <c r="J15" s="86" t="s">
        <v>104</v>
      </c>
      <c r="K15" s="86" t="s">
        <v>105</v>
      </c>
      <c r="L15" s="86" t="s">
        <v>106</v>
      </c>
    </row>
    <row r="16" spans="1:12" x14ac:dyDescent="0.2">
      <c r="A16" s="1" t="s">
        <v>231</v>
      </c>
      <c r="B16" s="5"/>
      <c r="C16" s="5"/>
      <c r="D16" s="5"/>
      <c r="E16" s="5"/>
      <c r="F16" s="5"/>
      <c r="G16" s="54">
        <f>IS!G6</f>
        <v>178650</v>
      </c>
      <c r="H16" s="24">
        <f>IS!H6</f>
        <v>195934.38749999998</v>
      </c>
      <c r="I16" s="24">
        <f>IS!I6</f>
        <v>210874.38454687496</v>
      </c>
      <c r="J16" s="24">
        <f>IS!J6</f>
        <v>229115.01881017967</v>
      </c>
      <c r="K16" s="24">
        <f>IS!K6</f>
        <v>248933.46793726023</v>
      </c>
      <c r="L16" s="24">
        <f>IS!L6</f>
        <v>269190.4288906547</v>
      </c>
    </row>
    <row r="17" spans="1:12" x14ac:dyDescent="0.2">
      <c r="A17" s="1" t="s">
        <v>232</v>
      </c>
      <c r="B17" s="5"/>
      <c r="C17" s="5"/>
      <c r="D17" s="5"/>
      <c r="E17" s="5"/>
      <c r="F17" s="5"/>
      <c r="G17" s="54">
        <f>IS!G15</f>
        <v>37378</v>
      </c>
      <c r="H17" s="24">
        <f>IS!H15</f>
        <v>41146.221374999986</v>
      </c>
      <c r="I17" s="24">
        <f>IS!I15</f>
        <v>44283.620754843731</v>
      </c>
      <c r="J17" s="24">
        <f>IS!J15</f>
        <v>48572.38398775809</v>
      </c>
      <c r="K17" s="24">
        <f>IS!K15</f>
        <v>53022.828670636423</v>
      </c>
      <c r="L17" s="24">
        <f>IS!L15</f>
        <v>57337.561353709447</v>
      </c>
    </row>
    <row r="18" spans="1:12" x14ac:dyDescent="0.2">
      <c r="A18" s="1" t="s">
        <v>142</v>
      </c>
      <c r="B18" s="5"/>
      <c r="C18" s="5"/>
      <c r="D18" s="5"/>
      <c r="E18" s="5"/>
      <c r="F18" s="5"/>
      <c r="G18" s="55">
        <f>G17/G16</f>
        <v>0.20922474111390987</v>
      </c>
      <c r="H18" s="43">
        <f>H17/H16</f>
        <v>0.20999999999999994</v>
      </c>
      <c r="I18" s="43">
        <f>I17/I16</f>
        <v>0.20999999999999994</v>
      </c>
      <c r="J18" s="43">
        <f>J17/J16</f>
        <v>0.21199999999999999</v>
      </c>
      <c r="K18" s="43">
        <f>K17/K16</f>
        <v>0.21299999999999997</v>
      </c>
      <c r="L18" s="43">
        <f>L17/L16</f>
        <v>0.21299999999999999</v>
      </c>
    </row>
    <row r="19" spans="1:12" x14ac:dyDescent="0.2">
      <c r="A19" s="1" t="s">
        <v>233</v>
      </c>
      <c r="B19" s="5"/>
      <c r="C19" s="5"/>
      <c r="D19" s="5"/>
      <c r="E19" s="5"/>
      <c r="F19" s="5"/>
      <c r="G19" s="56"/>
      <c r="H19" s="24">
        <f>-H17*Assumptions!H16</f>
        <v>-11315.210878124997</v>
      </c>
      <c r="I19" s="24">
        <f>-I17*Assumptions!I16</f>
        <v>-12177.995707582028</v>
      </c>
      <c r="J19" s="24">
        <f>-J17*Assumptions!J16</f>
        <v>-13357.405596633476</v>
      </c>
      <c r="K19" s="24">
        <f>-K17*Assumptions!K16</f>
        <v>-14581.277884425017</v>
      </c>
      <c r="L19" s="24">
        <f>-L17*Assumptions!L16</f>
        <v>-15767.829372270098</v>
      </c>
    </row>
    <row r="20" spans="1:12" x14ac:dyDescent="0.2">
      <c r="A20" s="3" t="s">
        <v>234</v>
      </c>
      <c r="B20" s="29"/>
      <c r="C20" s="30"/>
      <c r="D20" s="30"/>
      <c r="E20" s="30"/>
      <c r="F20" s="30"/>
      <c r="G20" s="57"/>
      <c r="H20" s="32">
        <f>H17+H19</f>
        <v>29831.010496874987</v>
      </c>
      <c r="I20" s="32">
        <f>I17+I19</f>
        <v>32105.625047261703</v>
      </c>
      <c r="J20" s="32">
        <f>J17+J19</f>
        <v>35214.978391124612</v>
      </c>
      <c r="K20" s="32">
        <f>K17+K19</f>
        <v>38441.550786211403</v>
      </c>
      <c r="L20" s="32">
        <f>L17+L19</f>
        <v>41569.731981439349</v>
      </c>
    </row>
    <row r="21" spans="1:12" x14ac:dyDescent="0.2">
      <c r="A21" s="1" t="s">
        <v>235</v>
      </c>
      <c r="B21" s="5"/>
      <c r="C21" s="5"/>
      <c r="D21" s="5"/>
      <c r="E21" s="5"/>
      <c r="F21" s="5"/>
      <c r="G21" s="56"/>
      <c r="H21" s="24">
        <f>IS!H14</f>
        <v>5486.1628499999997</v>
      </c>
      <c r="I21" s="24">
        <f>IS!I14</f>
        <v>5904.4827673124992</v>
      </c>
      <c r="J21" s="24">
        <f>IS!J14</f>
        <v>6415.2205266850306</v>
      </c>
      <c r="K21" s="24">
        <f>IS!K14</f>
        <v>6970.1371022432868</v>
      </c>
      <c r="L21" s="24">
        <f>IS!L14</f>
        <v>7537.3320089383315</v>
      </c>
    </row>
    <row r="22" spans="1:12" x14ac:dyDescent="0.2">
      <c r="A22" s="1" t="s">
        <v>236</v>
      </c>
      <c r="B22" s="5"/>
      <c r="C22" s="5"/>
      <c r="D22" s="5"/>
      <c r="E22" s="5"/>
      <c r="F22" s="5"/>
      <c r="G22" s="56"/>
      <c r="H22" s="24">
        <f>CF!H17</f>
        <v>-3134.9501999999998</v>
      </c>
      <c r="I22" s="24">
        <f>CF!I17</f>
        <v>-3373.9901527499997</v>
      </c>
      <c r="J22" s="24">
        <f>CF!J17</f>
        <v>-3665.8403009628746</v>
      </c>
      <c r="K22" s="24">
        <f>CF!K17</f>
        <v>-3982.9354869961635</v>
      </c>
      <c r="L22" s="24">
        <f>CF!L17</f>
        <v>-4307.046862250475</v>
      </c>
    </row>
    <row r="23" spans="1:12" x14ac:dyDescent="0.2">
      <c r="A23" s="1" t="s">
        <v>237</v>
      </c>
      <c r="B23" s="5"/>
      <c r="C23" s="5"/>
      <c r="D23" s="5"/>
      <c r="E23" s="5"/>
      <c r="F23" s="5"/>
      <c r="G23" s="56"/>
      <c r="H23" s="24">
        <f>-BS!H36</f>
        <v>-3951.603962499998</v>
      </c>
      <c r="I23" s="24">
        <f>-BS!I36</f>
        <v>-4135.9300021406243</v>
      </c>
      <c r="J23" s="24">
        <f>-BS!J36</f>
        <v>-4596.112648391414</v>
      </c>
      <c r="K23" s="24">
        <f>-BS!K36</f>
        <v>-4993.6763924772722</v>
      </c>
      <c r="L23" s="24">
        <f>-BS!L36</f>
        <v>-5340.1518708735921</v>
      </c>
    </row>
    <row r="24" spans="1:12" x14ac:dyDescent="0.2">
      <c r="A24" s="1" t="s">
        <v>238</v>
      </c>
      <c r="B24" s="5"/>
      <c r="C24" s="5"/>
      <c r="D24" s="5"/>
      <c r="E24" s="5"/>
      <c r="F24" s="5"/>
      <c r="G24" s="56"/>
      <c r="H24" s="24">
        <f>CF!H13</f>
        <v>-2145.5982214041032</v>
      </c>
      <c r="I24" s="24">
        <f>CF!I13</f>
        <v>-1916.2081143820596</v>
      </c>
      <c r="J24" s="24">
        <f>CF!J13</f>
        <v>-2339.5487480455058</v>
      </c>
      <c r="K24" s="24">
        <f>CF!K13</f>
        <v>-2541.9197147514524</v>
      </c>
      <c r="L24" s="24">
        <f>CF!L13</f>
        <v>-2598.1633617346888</v>
      </c>
    </row>
    <row r="25" spans="1:12" x14ac:dyDescent="0.2">
      <c r="A25" s="3" t="s">
        <v>239</v>
      </c>
      <c r="B25" s="29"/>
      <c r="C25" s="30"/>
      <c r="D25" s="30"/>
      <c r="E25" s="30"/>
      <c r="F25" s="30"/>
      <c r="G25" s="57"/>
      <c r="H25" s="32">
        <f>H20+H21+H22+H23+H24</f>
        <v>26085.020962970888</v>
      </c>
      <c r="I25" s="32">
        <f>I20+I21+I22+I23+I24</f>
        <v>28583.979545301518</v>
      </c>
      <c r="J25" s="32">
        <f>J20+J21+J22+J23+J24</f>
        <v>31028.697220409849</v>
      </c>
      <c r="K25" s="32">
        <f>K20+K21+K22+K23+K24</f>
        <v>33893.156294229804</v>
      </c>
      <c r="L25" s="32">
        <f>L20+L21+L22+L23+L24</f>
        <v>36861.701895518927</v>
      </c>
    </row>
    <row r="26" spans="1:12" x14ac:dyDescent="0.2">
      <c r="A26" s="1" t="s">
        <v>240</v>
      </c>
      <c r="B26" s="5"/>
      <c r="C26" s="5"/>
      <c r="D26" s="5"/>
      <c r="E26" s="5"/>
      <c r="F26" s="5"/>
      <c r="G26" s="58"/>
      <c r="H26" s="43">
        <f>H25/H16</f>
        <v>0.13313140840563728</v>
      </c>
      <c r="I26" s="43">
        <f>I25/I16</f>
        <v>0.13554979475920001</v>
      </c>
      <c r="J26" s="43">
        <f>J25/J16</f>
        <v>0.13542847335606981</v>
      </c>
      <c r="K26" s="43">
        <f>K25/K16</f>
        <v>0.13615347335606975</v>
      </c>
      <c r="L26" s="43">
        <f>L25/L16</f>
        <v>0.13693541054720104</v>
      </c>
    </row>
    <row r="27" spans="1:12" x14ac:dyDescent="0.2">
      <c r="A27" s="1" t="s">
        <v>241</v>
      </c>
      <c r="B27" s="5"/>
      <c r="C27" s="5"/>
      <c r="D27" s="5"/>
      <c r="E27" s="5"/>
      <c r="F27" s="5"/>
      <c r="G27" s="56"/>
      <c r="H27" s="48">
        <f>YEARFRAC($D$5,DATE(YEAR($D$5)+1,MONTH($D$5),DAY($D$5)),1)/2</f>
        <v>0.5</v>
      </c>
      <c r="I27" s="48">
        <f>H27+1</f>
        <v>1.5</v>
      </c>
      <c r="J27" s="48">
        <f>I27+1</f>
        <v>2.5</v>
      </c>
      <c r="K27" s="48">
        <f>J27+1</f>
        <v>3.5</v>
      </c>
      <c r="L27" s="48">
        <f>K27+1</f>
        <v>4.5</v>
      </c>
    </row>
    <row r="28" spans="1:12" x14ac:dyDescent="0.2">
      <c r="A28" s="1" t="s">
        <v>242</v>
      </c>
      <c r="B28" s="5"/>
      <c r="C28" s="5"/>
      <c r="D28" s="5"/>
      <c r="E28" s="5"/>
      <c r="F28" s="5"/>
      <c r="G28" s="56"/>
      <c r="H28" s="46">
        <f>1/(1+$D$9)^H27</f>
        <v>0.94352586266437344</v>
      </c>
      <c r="I28" s="46">
        <f>1/(1+$D$9)^I27</f>
        <v>0.83996545799844347</v>
      </c>
      <c r="J28" s="46">
        <f>1/(1+$D$9)^J27</f>
        <v>0.74777173424604571</v>
      </c>
      <c r="K28" s="46">
        <f>1/(1+$D$9)^K27</f>
        <v>0.66569709648509734</v>
      </c>
      <c r="L28" s="46">
        <f>1/(1+$D$9)^L27</f>
        <v>0.59263088449780155</v>
      </c>
    </row>
    <row r="29" spans="1:12" x14ac:dyDescent="0.2">
      <c r="A29" s="1" t="s">
        <v>243</v>
      </c>
      <c r="B29" s="5"/>
      <c r="C29" s="5"/>
      <c r="D29" s="5"/>
      <c r="E29" s="5"/>
      <c r="F29" s="5"/>
      <c r="G29" s="56"/>
      <c r="H29" s="34">
        <f>H25*H28</f>
        <v>24611.891906705372</v>
      </c>
      <c r="I29" s="34">
        <f>I25*I28</f>
        <v>24009.55547018733</v>
      </c>
      <c r="J29" s="34">
        <f>J25*J28</f>
        <v>23202.382731901333</v>
      </c>
      <c r="K29" s="34">
        <f>K25*K28</f>
        <v>22562.575735784383</v>
      </c>
      <c r="L29" s="34">
        <f>L25*L28</f>
        <v>21845.382998435671</v>
      </c>
    </row>
    <row r="30" spans="1:12" x14ac:dyDescent="0.2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">
      <c r="A31" s="75" t="s">
        <v>244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</row>
    <row r="32" spans="1:12" x14ac:dyDescent="0.2">
      <c r="A32" s="1" t="s">
        <v>245</v>
      </c>
      <c r="B32" s="5"/>
      <c r="C32" s="5"/>
      <c r="D32" s="34">
        <f>L25</f>
        <v>36861.701895518927</v>
      </c>
      <c r="E32" s="5"/>
      <c r="F32" s="5"/>
      <c r="G32" s="5"/>
      <c r="H32" s="5"/>
      <c r="I32" s="5"/>
      <c r="J32" s="5"/>
      <c r="K32" s="5"/>
      <c r="L32" s="5"/>
    </row>
    <row r="33" spans="1:12" x14ac:dyDescent="0.2">
      <c r="A33" s="1" t="s">
        <v>246</v>
      </c>
      <c r="B33" s="5"/>
      <c r="C33" s="5"/>
      <c r="D33" s="34">
        <f>D32*(1+D10)</f>
        <v>38704.786990294873</v>
      </c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1" t="s">
        <v>247</v>
      </c>
      <c r="B34" s="5"/>
      <c r="C34" s="5"/>
      <c r="D34" s="34">
        <f>D33/(D9-D10)</f>
        <v>528095.48984764598</v>
      </c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1" t="s">
        <v>248</v>
      </c>
      <c r="B35" s="5"/>
      <c r="C35" s="5"/>
      <c r="D35" s="34">
        <f>L28</f>
        <v>0.59263088449780155</v>
      </c>
      <c r="E35" s="5"/>
      <c r="F35" s="5"/>
      <c r="G35" s="5"/>
      <c r="H35" s="5"/>
      <c r="I35" s="5"/>
      <c r="J35" s="5"/>
      <c r="K35" s="5"/>
      <c r="L35" s="5"/>
    </row>
    <row r="36" spans="1:12" x14ac:dyDescent="0.2">
      <c r="A36" s="1" t="s">
        <v>249</v>
      </c>
      <c r="B36" s="5"/>
      <c r="C36" s="5"/>
      <c r="D36" s="34">
        <f>D34*D35</f>
        <v>312965.6972477102</v>
      </c>
      <c r="E36" s="5"/>
      <c r="F36" s="5"/>
      <c r="G36" s="5"/>
      <c r="H36" s="5"/>
      <c r="I36" s="5"/>
      <c r="J36" s="5"/>
      <c r="K36" s="5"/>
      <c r="L36" s="5"/>
    </row>
    <row r="37" spans="1:12" x14ac:dyDescent="0.2">
      <c r="A37" s="1" t="s">
        <v>250</v>
      </c>
      <c r="B37" s="5"/>
      <c r="C37" s="5"/>
      <c r="D37" s="44">
        <f>D34/IS!L12</f>
        <v>8.1402136092249986</v>
      </c>
      <c r="E37" s="5"/>
      <c r="F37" s="5"/>
      <c r="G37" s="5"/>
      <c r="H37" s="5"/>
      <c r="I37" s="5"/>
      <c r="J37" s="5"/>
      <c r="K37" s="5"/>
      <c r="L37" s="5"/>
    </row>
    <row r="38" spans="1:12" x14ac:dyDescent="0.2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">
      <c r="A39" s="75" t="s">
        <v>251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</row>
    <row r="40" spans="1:12" x14ac:dyDescent="0.2">
      <c r="A40" s="1" t="s">
        <v>252</v>
      </c>
      <c r="B40" s="5"/>
      <c r="C40" s="5"/>
      <c r="D40" s="34">
        <f>SUM(H29:L29)</f>
        <v>116231.78884301409</v>
      </c>
      <c r="E40" s="5"/>
      <c r="F40" s="5"/>
      <c r="G40" s="5"/>
      <c r="H40" s="5"/>
      <c r="I40" s="5"/>
      <c r="J40" s="5"/>
      <c r="K40" s="5"/>
      <c r="L40" s="5"/>
    </row>
    <row r="41" spans="1:12" x14ac:dyDescent="0.2">
      <c r="A41" s="1" t="s">
        <v>249</v>
      </c>
      <c r="B41" s="5"/>
      <c r="C41" s="5"/>
      <c r="D41" s="34">
        <f>D36</f>
        <v>312965.6972477102</v>
      </c>
      <c r="E41" s="5"/>
      <c r="F41" s="5"/>
      <c r="G41" s="5"/>
      <c r="H41" s="5"/>
      <c r="I41" s="5"/>
      <c r="J41" s="5"/>
      <c r="K41" s="5"/>
      <c r="L41" s="5"/>
    </row>
    <row r="42" spans="1:12" x14ac:dyDescent="0.2">
      <c r="A42" s="3" t="s">
        <v>253</v>
      </c>
      <c r="B42" s="29"/>
      <c r="C42" s="30"/>
      <c r="D42" s="90">
        <f>D40+D41</f>
        <v>429197.4860907243</v>
      </c>
      <c r="E42" s="30"/>
      <c r="F42" s="30"/>
      <c r="G42" s="30"/>
      <c r="H42" s="30"/>
      <c r="I42" s="30"/>
      <c r="J42" s="30"/>
      <c r="K42" s="30"/>
      <c r="L42" s="30"/>
    </row>
    <row r="43" spans="1:12" x14ac:dyDescent="0.2">
      <c r="A43" s="1" t="s">
        <v>254</v>
      </c>
      <c r="B43" s="5"/>
      <c r="C43" s="5"/>
      <c r="D43" s="43">
        <f>D41/D42</f>
        <v>0.72918809496837345</v>
      </c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1" t="s">
        <v>255</v>
      </c>
      <c r="B44" s="5"/>
      <c r="C44" s="5"/>
      <c r="D44" s="24">
        <f>BS!G6</f>
        <v>22201</v>
      </c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1" t="s">
        <v>256</v>
      </c>
      <c r="B45" s="5"/>
      <c r="C45" s="5"/>
      <c r="D45" s="24">
        <f>BS!G7</f>
        <v>12950</v>
      </c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1" t="s">
        <v>257</v>
      </c>
      <c r="B46" s="5"/>
      <c r="C46" s="5"/>
      <c r="D46" s="24">
        <f>BS!G8</f>
        <v>8930</v>
      </c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1" t="s">
        <v>258</v>
      </c>
      <c r="B47" s="5"/>
      <c r="C47" s="5"/>
      <c r="D47" s="24">
        <f>-Hist!G79</f>
        <v>-422</v>
      </c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1" t="s">
        <v>259</v>
      </c>
      <c r="B48" s="5"/>
      <c r="C48" s="5"/>
      <c r="D48" s="24">
        <f>-BS!G21</f>
        <v>-9176</v>
      </c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1" t="s">
        <v>260</v>
      </c>
      <c r="B49" s="5"/>
      <c r="C49" s="5"/>
      <c r="D49" s="24">
        <f>-BS!G29</f>
        <v>-445</v>
      </c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1" t="s">
        <v>261</v>
      </c>
      <c r="B50" s="5"/>
      <c r="C50" s="5"/>
      <c r="D50" s="24">
        <f>-Assumptions!H30</f>
        <v>-5311</v>
      </c>
      <c r="E50" s="5"/>
      <c r="F50" s="5"/>
      <c r="G50" s="5"/>
      <c r="H50" s="5"/>
      <c r="I50" s="5"/>
      <c r="J50" s="5"/>
      <c r="K50" s="5"/>
      <c r="L50" s="5"/>
    </row>
    <row r="51" spans="1:12" x14ac:dyDescent="0.2">
      <c r="A51" s="3" t="s">
        <v>262</v>
      </c>
      <c r="B51" s="29"/>
      <c r="C51" s="30"/>
      <c r="D51" s="90">
        <f>D42+SUM(D44:D50)</f>
        <v>457924.4860907243</v>
      </c>
      <c r="E51" s="30"/>
      <c r="F51" s="30"/>
      <c r="G51" s="30"/>
      <c r="H51" s="30"/>
      <c r="I51" s="30"/>
      <c r="J51" s="30"/>
      <c r="K51" s="30"/>
      <c r="L51" s="30"/>
    </row>
    <row r="52" spans="1:12" x14ac:dyDescent="0.2">
      <c r="A52" s="1" t="s">
        <v>151</v>
      </c>
      <c r="B52" s="5"/>
      <c r="C52" s="5"/>
      <c r="D52" s="45">
        <f>D8</f>
        <v>405.26864893062071</v>
      </c>
      <c r="E52" s="5"/>
      <c r="F52" s="5"/>
      <c r="G52" s="5"/>
      <c r="H52" s="5"/>
      <c r="I52" s="5"/>
      <c r="J52" s="5"/>
      <c r="K52" s="5"/>
      <c r="L52" s="5"/>
    </row>
    <row r="53" spans="1:12" x14ac:dyDescent="0.2">
      <c r="A53" s="1" t="s">
        <v>263</v>
      </c>
      <c r="B53" s="5"/>
      <c r="C53" s="5"/>
      <c r="D53" s="9">
        <f>D51/D52</f>
        <v>1129.9282273599158</v>
      </c>
      <c r="E53" s="5"/>
      <c r="F53" s="5"/>
      <c r="G53" s="5"/>
      <c r="H53" s="5"/>
      <c r="I53" s="5"/>
      <c r="J53" s="5"/>
      <c r="K53" s="5"/>
      <c r="L53" s="5"/>
    </row>
    <row r="54" spans="1:12" x14ac:dyDescent="0.2">
      <c r="A54" s="1" t="s">
        <v>264</v>
      </c>
      <c r="B54" s="5"/>
      <c r="C54" s="5"/>
      <c r="D54" s="46">
        <f>(1+D11)^YEARFRAC(D5,D6,1)</f>
        <v>1.068734041433147</v>
      </c>
      <c r="E54" s="5"/>
      <c r="F54" s="5"/>
      <c r="G54" s="5"/>
      <c r="H54" s="5"/>
      <c r="I54" s="5"/>
      <c r="J54" s="5"/>
      <c r="K54" s="5"/>
      <c r="L54" s="5"/>
    </row>
    <row r="55" spans="1:12" x14ac:dyDescent="0.2">
      <c r="A55" s="1" t="s">
        <v>265</v>
      </c>
      <c r="B55" s="5"/>
      <c r="C55" s="5"/>
      <c r="D55" s="47">
        <f>-Hist!C96</f>
        <v>-25</v>
      </c>
      <c r="E55" s="5"/>
      <c r="F55" s="5"/>
      <c r="G55" s="5"/>
      <c r="H55" s="5"/>
      <c r="I55" s="5"/>
      <c r="J55" s="5"/>
      <c r="K55" s="5"/>
      <c r="L55" s="5"/>
    </row>
    <row r="56" spans="1:12" x14ac:dyDescent="0.2">
      <c r="A56" s="3" t="s">
        <v>266</v>
      </c>
      <c r="B56" s="29"/>
      <c r="C56" s="30"/>
      <c r="D56" s="91">
        <f>D53*D54+D55</f>
        <v>1182.5927609557546</v>
      </c>
      <c r="E56" s="30"/>
      <c r="F56" s="30"/>
      <c r="G56" s="30"/>
      <c r="H56" s="30"/>
      <c r="I56" s="30"/>
      <c r="J56" s="30"/>
      <c r="K56" s="30"/>
      <c r="L56" s="30"/>
    </row>
    <row r="57" spans="1:12" x14ac:dyDescent="0.2">
      <c r="A57" s="1" t="s">
        <v>214</v>
      </c>
      <c r="B57" s="5"/>
      <c r="C57" s="5"/>
      <c r="D57" s="9">
        <f>D7</f>
        <v>1153.3499999999999</v>
      </c>
      <c r="E57" s="5"/>
      <c r="F57" s="5"/>
      <c r="G57" s="5"/>
      <c r="H57" s="5"/>
      <c r="I57" s="5"/>
      <c r="J57" s="5"/>
      <c r="K57" s="5"/>
      <c r="L57" s="5"/>
    </row>
    <row r="58" spans="1:12" x14ac:dyDescent="0.2">
      <c r="A58" s="1" t="s">
        <v>267</v>
      </c>
      <c r="B58" s="5"/>
      <c r="C58" s="5"/>
      <c r="D58" s="92">
        <f>D56/D57-1</f>
        <v>2.5354628651974354E-2</v>
      </c>
      <c r="E58" s="5"/>
      <c r="F58" s="5"/>
      <c r="G58" s="5"/>
      <c r="H58" s="5"/>
      <c r="I58" s="5"/>
      <c r="J58" s="5"/>
      <c r="K58" s="5"/>
      <c r="L58" s="5"/>
    </row>
    <row r="59" spans="1:12" x14ac:dyDescent="0.2">
      <c r="A59" s="1" t="s">
        <v>268</v>
      </c>
      <c r="B59" s="5"/>
      <c r="C59" s="5"/>
      <c r="D59" s="44">
        <f>D42/IS!H12</f>
        <v>9.2038503547204034</v>
      </c>
      <c r="E59" s="5"/>
      <c r="F59" s="5"/>
      <c r="G59" s="5"/>
      <c r="H59" s="5"/>
      <c r="I59" s="5"/>
      <c r="J59" s="5"/>
      <c r="K59" s="5"/>
      <c r="L59" s="5"/>
    </row>
    <row r="60" spans="1:12" x14ac:dyDescent="0.2">
      <c r="A60" s="1" t="s">
        <v>269</v>
      </c>
      <c r="B60" s="5"/>
      <c r="C60" s="5"/>
      <c r="D60" s="44">
        <f>D56/IS!H28</f>
        <v>15.165910889779848</v>
      </c>
      <c r="E60" s="5"/>
      <c r="F60" s="5"/>
      <c r="G60" s="5"/>
      <c r="H60" s="5"/>
      <c r="I60" s="5"/>
      <c r="J60" s="5"/>
      <c r="K60" s="5"/>
      <c r="L60" s="5"/>
    </row>
    <row r="61" spans="1:12" x14ac:dyDescent="0.2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">
      <c r="A62" s="75" t="s">
        <v>270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</row>
    <row r="63" spans="1:12" ht="17" thickBot="1" x14ac:dyDescent="0.25">
      <c r="A63" s="1" t="s">
        <v>271</v>
      </c>
      <c r="B63" s="5"/>
      <c r="C63" s="5"/>
      <c r="D63" s="42">
        <v>5.0000000000000001E-3</v>
      </c>
      <c r="E63" s="42">
        <v>5.0000000000000001E-3</v>
      </c>
      <c r="F63" s="5"/>
      <c r="G63" s="5"/>
      <c r="H63" s="5"/>
      <c r="I63" s="5"/>
      <c r="J63" s="5"/>
      <c r="K63" s="5"/>
      <c r="L63" s="5"/>
    </row>
    <row r="64" spans="1:12" x14ac:dyDescent="0.2">
      <c r="A64" s="1"/>
      <c r="B64" s="5"/>
      <c r="C64" s="124" t="s">
        <v>272</v>
      </c>
      <c r="D64" s="122">
        <f>$D$10+(-2)*$D$63</f>
        <v>0.04</v>
      </c>
      <c r="E64" s="122">
        <f>$D$10+(-1)*$D$63</f>
        <v>4.5000000000000005E-2</v>
      </c>
      <c r="F64" s="122">
        <f>$D$10+(0)*$D$63</f>
        <v>0.05</v>
      </c>
      <c r="G64" s="122">
        <f>$D$10+(1)*$D$63</f>
        <v>5.5E-2</v>
      </c>
      <c r="H64" s="127">
        <f>$D$10+(2)*$D$63</f>
        <v>6.0000000000000005E-2</v>
      </c>
      <c r="I64" s="5"/>
      <c r="J64" s="5"/>
      <c r="K64" s="5"/>
      <c r="L64" s="5"/>
    </row>
    <row r="65" spans="1:12" x14ac:dyDescent="0.2">
      <c r="A65" s="1"/>
      <c r="B65" s="5"/>
      <c r="C65" s="125">
        <f>$D$9+(-2)*$E$63</f>
        <v>0.11329126594408352</v>
      </c>
      <c r="D65" s="50" cm="1">
        <f t="array" ref="D65">_xlfn.LET(_xlpm.w_,$C65,_xlpm.g_,D$64,_xlpm.pv_,SUMPRODUCT($H$25:$L$25,1/(1+_xlpm.w_)^$H$27:$L$27),_xlpm.tv_,$L$25*(1+_xlpm.g_)/(_xlpm.w_-_xlpm.g_)/(1+_xlpm.w_)^$L$27,(_xlpm.pv_+_xlpm.tv_+SUM($D$44:$D$50))/$D$52*$D$54+$D$55)</f>
        <v>1215.0844641746085</v>
      </c>
      <c r="E65" s="50" cm="1">
        <f t="array" ref="E65">_xlfn.LET(_xlpm.w_,$C65,_xlpm.g_,E$64,_xlpm.pv_,SUMPRODUCT($H$25:$L$25,1/(1+_xlpm.w_)^$H$27:$L$27),_xlpm.tv_,$L$25*(1+_xlpm.g_)/(_xlpm.w_-_xlpm.g_)/(1+_xlpm.w_)^$L$27,(_xlpm.pv_+_xlpm.tv_+SUM($D$44:$D$50))/$D$52*$D$54+$D$55)</f>
        <v>1281.7841560563779</v>
      </c>
      <c r="F65" s="50" cm="1">
        <f t="array" ref="F65">_xlfn.LET(_xlpm.w_,$C65,_xlpm.g_,F$64,_xlpm.pv_,SUMPRODUCT($H$25:$L$25,1/(1+_xlpm.w_)^$H$27:$L$27),_xlpm.tv_,$L$25*(1+_xlpm.g_)/(_xlpm.w_-_xlpm.g_)/(1+_xlpm.w_)^$L$27,(_xlpm.pv_+_xlpm.tv_+SUM($D$44:$D$50))/$D$52*$D$54+$D$55)</f>
        <v>1359.0223781582088</v>
      </c>
      <c r="G65" s="50" cm="1">
        <f t="array" ref="G65">_xlfn.LET(_xlpm.w_,$C65,_xlpm.g_,G$64,_xlpm.pv_,SUMPRODUCT($H$25:$L$25,1/(1+_xlpm.w_)^$H$27:$L$27),_xlpm.tv_,$L$25*(1+_xlpm.g_)/(_xlpm.w_-_xlpm.g_)/(1+_xlpm.w_)^$L$27,(_xlpm.pv_+_xlpm.tv_+SUM($D$44:$D$50))/$D$52*$D$54+$D$55)</f>
        <v>1449.5109939255199</v>
      </c>
      <c r="H65" s="128" cm="1">
        <f t="array" ref="H65">_xlfn.LET(_xlpm.w_,$C65,_xlpm.g_,H$64,_xlpm.pv_,SUMPRODUCT($H$25:$L$25,1/(1+_xlpm.w_)^$H$27:$L$27),_xlpm.tv_,$L$25*(1+_xlpm.g_)/(_xlpm.w_-_xlpm.g_)/(1+_xlpm.w_)^$L$27,(_xlpm.pv_+_xlpm.tv_+SUM($D$44:$D$50))/$D$52*$D$54+$D$55)</f>
        <v>1556.9796183610918</v>
      </c>
      <c r="I65" s="5"/>
      <c r="J65" s="5"/>
      <c r="K65" s="5"/>
      <c r="L65" s="5"/>
    </row>
    <row r="66" spans="1:12" x14ac:dyDescent="0.2">
      <c r="A66" s="1"/>
      <c r="B66" s="5"/>
      <c r="C66" s="125">
        <f>$D$9+(-1)*$E$63</f>
        <v>0.11829126594408351</v>
      </c>
      <c r="D66" s="50" cm="1">
        <f t="array" ref="D66">_xlfn.LET(_xlpm.w_,$C66,_xlpm.g_,D$64,_xlpm.pv_,SUMPRODUCT($H$25:$L$25,1/(1+_xlpm.w_)^$H$27:$L$27),_xlpm.tv_,$L$25*(1+_xlpm.g_)/(_xlpm.w_-_xlpm.g_)/(1+_xlpm.w_)^$L$27,(_xlpm.pv_+_xlpm.tv_+SUM($D$44:$D$50))/$D$52*$D$54+$D$55)</f>
        <v>1141.4047320341087</v>
      </c>
      <c r="E66" s="50" cm="1">
        <f t="array" ref="E66">_xlfn.LET(_xlpm.w_,$C66,_xlpm.g_,E$64,_xlpm.pv_,SUMPRODUCT($H$25:$L$25,1/(1+_xlpm.w_)^$H$27:$L$27),_xlpm.tv_,$L$25*(1+_xlpm.g_)/(_xlpm.w_-_xlpm.g_)/(1+_xlpm.w_)^$L$27,(_xlpm.pv_+_xlpm.tv_+SUM($D$44:$D$50))/$D$52*$D$54+$D$55)</f>
        <v>1198.6796158596956</v>
      </c>
      <c r="F66" s="50" cm="1">
        <f t="array" ref="F66">_xlfn.LET(_xlpm.w_,$C66,_xlpm.g_,F$64,_xlpm.pv_,SUMPRODUCT($H$25:$L$25,1/(1+_xlpm.w_)^$H$27:$L$27),_xlpm.tv_,$L$25*(1+_xlpm.g_)/(_xlpm.w_-_xlpm.g_)/(1+_xlpm.w_)^$L$27,(_xlpm.pv_+_xlpm.tv_+SUM($D$44:$D$50))/$D$52*$D$54+$D$55)</f>
        <v>1264.341353118705</v>
      </c>
      <c r="G66" s="50" cm="1">
        <f t="array" ref="G66">_xlfn.LET(_xlpm.w_,$C66,_xlpm.g_,G$64,_xlpm.pv_,SUMPRODUCT($H$25:$L$25,1/(1+_xlpm.w_)^$H$27:$L$27),_xlpm.tv_,$L$25*(1+_xlpm.g_)/(_xlpm.w_-_xlpm.g_)/(1+_xlpm.w_)^$L$27,(_xlpm.pv_+_xlpm.tv_+SUM($D$44:$D$50))/$D$52*$D$54+$D$55)</f>
        <v>1340.3776240956868</v>
      </c>
      <c r="H66" s="128" cm="1">
        <f t="array" ref="H66">_xlfn.LET(_xlpm.w_,$C66,_xlpm.g_,H$64,_xlpm.pv_,SUMPRODUCT($H$25:$L$25,1/(1+_xlpm.w_)^$H$27:$L$27),_xlpm.tv_,$L$25*(1+_xlpm.g_)/(_xlpm.w_-_xlpm.g_)/(1+_xlpm.w_)^$L$27,(_xlpm.pv_+_xlpm.tv_+SUM($D$44:$D$50))/$D$52*$D$54+$D$55)</f>
        <v>1429.4580912735066</v>
      </c>
      <c r="I66" s="5"/>
      <c r="J66" s="5"/>
      <c r="K66" s="5"/>
      <c r="L66" s="5"/>
    </row>
    <row r="67" spans="1:12" x14ac:dyDescent="0.2">
      <c r="A67" s="1"/>
      <c r="B67" s="5"/>
      <c r="C67" s="125">
        <f>$D$9+(0)*$E$63</f>
        <v>0.12329126594408352</v>
      </c>
      <c r="D67" s="50" cm="1">
        <f t="array" ref="D67">_xlfn.LET(_xlpm.w_,$C67,_xlpm.g_,D$64,_xlpm.pv_,SUMPRODUCT($H$25:$L$25,1/(1+_xlpm.w_)^$H$27:$L$27),_xlpm.tv_,$L$25*(1+_xlpm.g_)/(_xlpm.w_-_xlpm.g_)/(1+_xlpm.w_)^$L$27,(_xlpm.pv_+_xlpm.tv_+SUM($D$44:$D$50))/$D$52*$D$54+$D$55)</f>
        <v>1076.5876040088106</v>
      </c>
      <c r="E67" s="50" cm="1">
        <f t="array" ref="E67">_xlfn.LET(_xlpm.w_,$C67,_xlpm.g_,E$64,_xlpm.pv_,SUMPRODUCT($H$25:$L$25,1/(1+_xlpm.w_)^$H$27:$L$27),_xlpm.tv_,$L$25*(1+_xlpm.g_)/(_xlpm.w_-_xlpm.g_)/(1+_xlpm.w_)^$L$27,(_xlpm.pv_+_xlpm.tv_+SUM($D$44:$D$50))/$D$52*$D$54+$D$55)</f>
        <v>1126.2052213480911</v>
      </c>
      <c r="F67" s="93" cm="1">
        <f t="array" ref="F67">_xlfn.LET(_xlpm.w_,$C67,_xlpm.g_,F$64,_xlpm.pv_,SUMPRODUCT($H$25:$L$25,1/(1+_xlpm.w_)^$H$27:$L$27),_xlpm.tv_,$L$25*(1+_xlpm.g_)/(_xlpm.w_-_xlpm.g_)/(1+_xlpm.w_)^$L$27,(_xlpm.pv_+_xlpm.tv_+SUM($D$44:$D$50))/$D$52*$D$54+$D$55)</f>
        <v>1182.5927609557546</v>
      </c>
      <c r="G67" s="50" cm="1">
        <f t="array" ref="G67">_xlfn.LET(_xlpm.w_,$C67,_xlpm.g_,G$64,_xlpm.pv_,SUMPRODUCT($H$25:$L$25,1/(1+_xlpm.w_)^$H$27:$L$27),_xlpm.tv_,$L$25*(1+_xlpm.g_)/(_xlpm.w_-_xlpm.g_)/(1+_xlpm.w_)^$L$27,(_xlpm.pv_+_xlpm.tv_+SUM($D$44:$D$50))/$D$52*$D$54+$D$55)</f>
        <v>1247.2372187546594</v>
      </c>
      <c r="H67" s="128" cm="1">
        <f t="array" ref="H67">_xlfn.LET(_xlpm.w_,$C67,_xlpm.g_,H$64,_xlpm.pv_,SUMPRODUCT($H$25:$L$25,1/(1+_xlpm.w_)^$H$27:$L$27),_xlpm.tv_,$L$25*(1+_xlpm.g_)/(_xlpm.w_-_xlpm.g_)/(1+_xlpm.w_)^$L$27,(_xlpm.pv_+_xlpm.tv_+SUM($D$44:$D$50))/$D$52*$D$54+$D$55)</f>
        <v>1322.095480438609</v>
      </c>
      <c r="I67" s="5"/>
      <c r="J67" s="5"/>
      <c r="K67" s="5"/>
      <c r="L67" s="5"/>
    </row>
    <row r="68" spans="1:12" x14ac:dyDescent="0.2">
      <c r="A68" s="1"/>
      <c r="B68" s="5"/>
      <c r="C68" s="125">
        <f>$D$9+(1)*$E$63</f>
        <v>0.12829126594408352</v>
      </c>
      <c r="D68" s="50" cm="1">
        <f t="array" ref="D68">_xlfn.LET(_xlpm.w_,$C68,_xlpm.g_,D$64,_xlpm.pv_,SUMPRODUCT($H$25:$L$25,1/(1+_xlpm.w_)^$H$27:$L$27),_xlpm.tv_,$L$25*(1+_xlpm.g_)/(_xlpm.w_-_xlpm.g_)/(1+_xlpm.w_)^$L$27,(_xlpm.pv_+_xlpm.tv_+SUM($D$44:$D$50))/$D$52*$D$54+$D$55)</f>
        <v>1019.1269989195969</v>
      </c>
      <c r="E68" s="50" cm="1">
        <f t="array" ref="E68">_xlfn.LET(_xlpm.w_,$C68,_xlpm.g_,E$64,_xlpm.pv_,SUMPRODUCT($H$25:$L$25,1/(1+_xlpm.w_)^$H$27:$L$27),_xlpm.tv_,$L$25*(1+_xlpm.g_)/(_xlpm.w_-_xlpm.g_)/(1+_xlpm.w_)^$L$27,(_xlpm.pv_+_xlpm.tv_+SUM($D$44:$D$50))/$D$52*$D$54+$D$55)</f>
        <v>1062.4462083552103</v>
      </c>
      <c r="F68" s="50" cm="1">
        <f t="array" ref="F68">_xlfn.LET(_xlpm.w_,$C68,_xlpm.g_,F$64,_xlpm.pv_,SUMPRODUCT($H$25:$L$25,1/(1+_xlpm.w_)^$H$27:$L$27),_xlpm.tv_,$L$25*(1+_xlpm.g_)/(_xlpm.w_-_xlpm.g_)/(1+_xlpm.w_)^$L$27,(_xlpm.pv_+_xlpm.tv_+SUM($D$44:$D$50))/$D$52*$D$54+$D$55)</f>
        <v>1111.2985010681525</v>
      </c>
      <c r="G68" s="50" cm="1">
        <f t="array" ref="G68">_xlfn.LET(_xlpm.w_,$C68,_xlpm.g_,G$64,_xlpm.pv_,SUMPRODUCT($H$25:$L$25,1/(1+_xlpm.w_)^$H$27:$L$27),_xlpm.tv_,$L$25*(1+_xlpm.g_)/(_xlpm.w_-_xlpm.g_)/(1+_xlpm.w_)^$L$27,(_xlpm.pv_+_xlpm.tv_+SUM($D$44:$D$50))/$D$52*$D$54+$D$55)</f>
        <v>1166.8162936989449</v>
      </c>
      <c r="H68" s="128" cm="1">
        <f t="array" ref="H68">_xlfn.LET(_xlpm.w_,$C68,_xlpm.g_,H$64,_xlpm.pv_,SUMPRODUCT($H$25:$L$25,1/(1+_xlpm.w_)^$H$27:$L$27),_xlpm.tv_,$L$25*(1+_xlpm.g_)/(_xlpm.w_-_xlpm.g_)/(1+_xlpm.w_)^$L$27,(_xlpm.pv_+_xlpm.tv_+SUM($D$44:$D$50))/$D$52*$D$54+$D$55)</f>
        <v>1230.4636460711329</v>
      </c>
      <c r="I68" s="5"/>
      <c r="J68" s="5"/>
      <c r="K68" s="5"/>
      <c r="L68" s="5"/>
    </row>
    <row r="69" spans="1:12" ht="17" thickBot="1" x14ac:dyDescent="0.25">
      <c r="A69" s="1"/>
      <c r="B69" s="5"/>
      <c r="C69" s="126">
        <f>$D$9+(2)*$E$63</f>
        <v>0.13329126594408353</v>
      </c>
      <c r="D69" s="123" cm="1">
        <f t="array" ref="D69">_xlfn.LET(_xlpm.w_,$C69,_xlpm.g_,D$64,_xlpm.pv_,SUMPRODUCT($H$25:$L$25,1/(1+_xlpm.w_)^$H$27:$L$27),_xlpm.tv_,$L$25*(1+_xlpm.g_)/(_xlpm.w_-_xlpm.g_)/(1+_xlpm.w_)^$L$27,(_xlpm.pv_+_xlpm.tv_+SUM($D$44:$D$50))/$D$52*$D$54+$D$55)</f>
        <v>967.83972295267483</v>
      </c>
      <c r="E69" s="123" cm="1">
        <f t="array" ref="E69">_xlfn.LET(_xlpm.w_,$C69,_xlpm.g_,E$64,_xlpm.pv_,SUMPRODUCT($H$25:$L$25,1/(1+_xlpm.w_)^$H$27:$L$27),_xlpm.tv_,$L$25*(1+_xlpm.g_)/(_xlpm.w_-_xlpm.g_)/(1+_xlpm.w_)^$L$27,(_xlpm.pv_+_xlpm.tv_+SUM($D$44:$D$50))/$D$52*$D$54+$D$55)</f>
        <v>1005.9215603843131</v>
      </c>
      <c r="F69" s="123" cm="1">
        <f t="array" ref="F69">_xlfn.LET(_xlpm.w_,$C69,_xlpm.g_,F$64,_xlpm.pv_,SUMPRODUCT($H$25:$L$25,1/(1+_xlpm.w_)^$H$27:$L$27),_xlpm.tv_,$L$25*(1+_xlpm.g_)/(_xlpm.w_-_xlpm.g_)/(1+_xlpm.w_)^$L$27,(_xlpm.pv_+_xlpm.tv_+SUM($D$44:$D$50))/$D$52*$D$54+$D$55)</f>
        <v>1048.5755263578806</v>
      </c>
      <c r="G69" s="123" cm="1">
        <f t="array" ref="G69">_xlfn.LET(_xlpm.w_,$C69,_xlpm.g_,G$64,_xlpm.pv_,SUMPRODUCT($H$25:$L$25,1/(1+_xlpm.w_)^$H$27:$L$27),_xlpm.tv_,$L$25*(1+_xlpm.g_)/(_xlpm.w_-_xlpm.g_)/(1+_xlpm.w_)^$L$27,(_xlpm.pv_+_xlpm.tv_+SUM($D$44:$D$50))/$D$52*$D$54+$D$55)</f>
        <v>1096.6776052798364</v>
      </c>
      <c r="H69" s="129" cm="1">
        <f t="array" ref="H69">_xlfn.LET(_xlpm.w_,$C69,_xlpm.g_,H$64,_xlpm.pv_,SUMPRODUCT($H$25:$L$25,1/(1+_xlpm.w_)^$H$27:$L$27),_xlpm.tv_,$L$25*(1+_xlpm.g_)/(_xlpm.w_-_xlpm.g_)/(1+_xlpm.w_)^$L$27,(_xlpm.pv_+_xlpm.tv_+SUM($D$44:$D$50))/$D$52*$D$54+$D$55)</f>
        <v>1151.3428235202828</v>
      </c>
      <c r="I69" s="5"/>
      <c r="J69" s="5"/>
      <c r="K69" s="5"/>
      <c r="L69" s="5"/>
    </row>
    <row r="70" spans="1:12" x14ac:dyDescent="0.2">
      <c r="A70" s="1"/>
      <c r="B70" s="5"/>
      <c r="C70" s="53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">
      <c r="A71" s="75" t="s">
        <v>281</v>
      </c>
      <c r="B71" s="84"/>
      <c r="C71" s="94"/>
      <c r="D71" s="84"/>
      <c r="E71" s="84"/>
      <c r="F71" s="84"/>
      <c r="G71" s="84"/>
      <c r="H71" s="84"/>
      <c r="I71" s="84"/>
      <c r="J71" s="84"/>
      <c r="K71" s="84"/>
      <c r="L71" s="84"/>
    </row>
    <row r="72" spans="1:12" ht="17" thickBot="1" x14ac:dyDescent="0.25">
      <c r="A72" s="1" t="s">
        <v>282</v>
      </c>
      <c r="B72" s="5"/>
      <c r="C72" s="53"/>
      <c r="D72" s="42">
        <v>0.01</v>
      </c>
      <c r="E72" s="42">
        <v>0.01</v>
      </c>
      <c r="F72" s="5"/>
      <c r="G72" s="5"/>
      <c r="H72" s="5"/>
      <c r="I72" s="5"/>
      <c r="J72" s="5"/>
      <c r="K72" s="5"/>
      <c r="L72" s="5"/>
    </row>
    <row r="73" spans="1:12" x14ac:dyDescent="0.2">
      <c r="A73" s="1"/>
      <c r="B73" s="5"/>
      <c r="C73" s="124" t="s">
        <v>283</v>
      </c>
      <c r="D73" s="130">
        <f>(-2)*$E$72</f>
        <v>-0.02</v>
      </c>
      <c r="E73" s="130">
        <f>(-1)*$E$72</f>
        <v>-0.01</v>
      </c>
      <c r="F73" s="130">
        <f>(0)*$E$72</f>
        <v>0</v>
      </c>
      <c r="G73" s="130">
        <f>(1)*$E$72</f>
        <v>0.01</v>
      </c>
      <c r="H73" s="134">
        <f>(2)*$E$72</f>
        <v>0.02</v>
      </c>
      <c r="I73" s="5"/>
      <c r="J73" s="5"/>
      <c r="K73" s="5"/>
      <c r="L73" s="5"/>
    </row>
    <row r="74" spans="1:12" x14ac:dyDescent="0.2">
      <c r="A74" s="1"/>
      <c r="B74" s="5"/>
      <c r="C74" s="132">
        <f>(-2)*$D$72</f>
        <v>-0.02</v>
      </c>
      <c r="D74" s="52">
        <f>_xlfn.LET(_xlpm.dg_,$C74,_xlpm.dm_,D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1004.0887654006087</v>
      </c>
      <c r="E74" s="52">
        <f>_xlfn.LET(_xlpm.dg_,$C74,_xlpm.dm_,E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1059.2960688343433</v>
      </c>
      <c r="F74" s="52">
        <f>_xlfn.LET(_xlpm.dg_,$C74,_xlpm.dm_,F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1114.5033722680787</v>
      </c>
      <c r="G74" s="52">
        <f>_xlfn.LET(_xlpm.dg_,$C74,_xlpm.dm_,G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1169.7106757018132</v>
      </c>
      <c r="H74" s="135">
        <f>_xlfn.LET(_xlpm.dg_,$C74,_xlpm.dm_,H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1224.917979135548</v>
      </c>
      <c r="I74" s="5"/>
      <c r="J74" s="5"/>
      <c r="K74" s="5"/>
      <c r="L74" s="5"/>
    </row>
    <row r="75" spans="1:12" x14ac:dyDescent="0.2">
      <c r="A75" s="1"/>
      <c r="B75" s="5"/>
      <c r="C75" s="132">
        <f>(-1)*$D$72</f>
        <v>-0.01</v>
      </c>
      <c r="D75" s="52">
        <f>_xlfn.LET(_xlpm.dg_,$C75,_xlpm.dm_,D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1032.8945751402164</v>
      </c>
      <c r="E75" s="52">
        <f>_xlfn.LET(_xlpm.dg_,$C75,_xlpm.dm_,E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1090.50976932561</v>
      </c>
      <c r="F75" s="52">
        <f>_xlfn.LET(_xlpm.dg_,$C75,_xlpm.dm_,F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1148.1249635110039</v>
      </c>
      <c r="G75" s="52">
        <f>_xlfn.LET(_xlpm.dg_,$C75,_xlpm.dm_,G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1205.7401576963982</v>
      </c>
      <c r="H75" s="135">
        <f>_xlfn.LET(_xlpm.dg_,$C75,_xlpm.dm_,H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1263.3553518817916</v>
      </c>
      <c r="I75" s="5"/>
      <c r="J75" s="5"/>
      <c r="K75" s="5"/>
      <c r="L75" s="5"/>
    </row>
    <row r="76" spans="1:12" x14ac:dyDescent="0.2">
      <c r="A76" s="1"/>
      <c r="B76" s="5"/>
      <c r="C76" s="132">
        <f>(0)*$D$72</f>
        <v>0</v>
      </c>
      <c r="D76" s="52">
        <f>_xlfn.LET(_xlpm.dg_,$C76,_xlpm.dm_,D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1062.3701277582252</v>
      </c>
      <c r="E76" s="52">
        <f>_xlfn.LET(_xlpm.dg_,$C76,_xlpm.dm_,E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1122.4814443569894</v>
      </c>
      <c r="F76" s="95">
        <f>_xlfn.LET(_xlpm.dg_,$C76,_xlpm.dm_,F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1182.5927609557543</v>
      </c>
      <c r="G76" s="52">
        <f>_xlfn.LET(_xlpm.dg_,$C76,_xlpm.dm_,G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1242.7040775545188</v>
      </c>
      <c r="H76" s="135">
        <f>_xlfn.LET(_xlpm.dg_,$C76,_xlpm.dm_,H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1302.8153941532833</v>
      </c>
      <c r="I76" s="5"/>
      <c r="J76" s="5"/>
      <c r="K76" s="5"/>
      <c r="L76" s="5"/>
    </row>
    <row r="77" spans="1:12" x14ac:dyDescent="0.2">
      <c r="A77" s="1"/>
      <c r="B77" s="5"/>
      <c r="C77" s="132">
        <f>(1)*$D$72</f>
        <v>0.01</v>
      </c>
      <c r="D77" s="52">
        <f>_xlfn.LET(_xlpm.dg_,$C77,_xlpm.dm_,D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1092.5230966798053</v>
      </c>
      <c r="E77" s="52">
        <f>_xlfn.LET(_xlpm.dg_,$C77,_xlpm.dm_,E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1155.2212509688436</v>
      </c>
      <c r="F77" s="52">
        <f>_xlfn.LET(_xlpm.dg_,$C77,_xlpm.dm_,F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1217.9194052578823</v>
      </c>
      <c r="G77" s="52">
        <f>_xlfn.LET(_xlpm.dg_,$C77,_xlpm.dm_,G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1280.6175595469203</v>
      </c>
      <c r="H77" s="135">
        <f>_xlfn.LET(_xlpm.dg_,$C77,_xlpm.dm_,H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1343.3157138359584</v>
      </c>
      <c r="I77" s="5"/>
      <c r="J77" s="5"/>
      <c r="K77" s="5"/>
      <c r="L77" s="5"/>
    </row>
    <row r="78" spans="1:12" ht="17" thickBot="1" x14ac:dyDescent="0.25">
      <c r="A78" s="1"/>
      <c r="B78" s="5"/>
      <c r="C78" s="133">
        <f>(2)*$D$72</f>
        <v>0.02</v>
      </c>
      <c r="D78" s="131">
        <f>_xlfn.LET(_xlpm.dg_,$C78,_xlpm.dm_,D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1123.3610877433839</v>
      </c>
      <c r="E78" s="131">
        <f>_xlfn.LET(_xlpm.dg_,$C78,_xlpm.dm_,E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1188.739325411676</v>
      </c>
      <c r="F78" s="131">
        <f>_xlfn.LET(_xlpm.dg_,$C78,_xlpm.dm_,F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1254.1175630799685</v>
      </c>
      <c r="G78" s="131">
        <f>_xlfn.LET(_xlpm.dg_,$C78,_xlpm.dm_,G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1319.4958007482608</v>
      </c>
      <c r="H78" s="136">
        <f>_xlfn.LET(_xlpm.dg_,$C78,_xlpm.dm_,H$73,_xlpm.rev_1,IS!$G$6*(1+$H$91+_xlpm.dg_)*(1+$H$92),_xlpm.rev_2,_xlpm.rev_1*(1+$I$91+_xlpm.dg_)*(1+$I$92),_xlpm.rev_3,_xlpm.rev_2*(1+$J$91+_xlpm.dg_)*(1+$J$92),_xlpm.rev_4,_xlpm.rev_3*(1+$K$91+_xlpm.dg_)*(1+$K$92),_xlpm.rev_5,_xlpm.rev_4*(1+$L$91+_xlpm.dg_)*(1+$L$92),_xlpm.fcf_1,_xlpm.rev_1*($H$93+_xlpm.dm_)*(1-$H$94)+_xlpm.rev_1*$H$95-(_xlpm.rev_1*$H$96-BS!$G$21+_xlpm.rev_1*$H$97)-(_xlpm.rev_1*$H$98-BS!$G$34),_xlpm.fcf_2,_xlpm.rev_2*($I$93+_xlpm.dm_)*(1-$I$94)+_xlpm.rev_2*$I$95-(_xlpm.rev_2*$I$96-_xlpm.rev_1*$H$96+_xlpm.rev_2*$I$97)-(_xlpm.rev_2*$I$98-_xlpm.rev_1*$H$98),_xlpm.fcf_3,_xlpm.rev_3*($J$93+_xlpm.dm_)*(1-$J$94)+_xlpm.rev_3*$J$95-(_xlpm.rev_3*$J$96-_xlpm.rev_2*$I$96+_xlpm.rev_3*$J$97)-(_xlpm.rev_3*$J$98-_xlpm.rev_2*$I$98),_xlpm.fcf_4,_xlpm.rev_4*($K$93+_xlpm.dm_)*(1-$K$94)+_xlpm.rev_4*$K$95-(_xlpm.rev_4*$K$96-_xlpm.rev_3*$J$96+_xlpm.rev_4*$K$97)-(_xlpm.rev_4*$K$98-_xlpm.rev_3*$J$98),_xlpm.fcf_5,_xlpm.rev_5*($L$93+_xlpm.dm_)*(1-$L$94)+_xlpm.rev_5*$L$95-(_xlpm.rev_5*$L$96-_xlpm.rev_4*$K$96+_xlpm.rev_5*$L$97)-(_xlpm.rev_5*$L$98-_xlpm.rev_4*$K$98),_xlpm.pv_,_xlpm.fcf_1*$H$28+_xlpm.fcf_2*$I$28+_xlpm.fcf_3*$J$28+_xlpm.fcf_4*$K$28+_xlpm.fcf_5*$L$28,_xlpm.tv_,_xlpm.fcf_5*(1+$D$10)/($D$9-$D$10)*$L$28,(_xlpm.pv_+_xlpm.tv_+SUM($D$44:$D$50))/$D$52*$D$54+$D$55)</f>
        <v>1384.8740384165524</v>
      </c>
      <c r="I78" s="5"/>
      <c r="J78" s="5"/>
      <c r="K78" s="5"/>
      <c r="L78" s="5"/>
    </row>
    <row r="79" spans="1:12" x14ac:dyDescent="0.2">
      <c r="A79" s="1"/>
      <c r="B79" s="5"/>
      <c r="C79" s="53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">
      <c r="A80" s="75" t="s">
        <v>284</v>
      </c>
      <c r="B80" s="84"/>
      <c r="C80" s="94"/>
      <c r="D80" s="84"/>
      <c r="E80" s="84"/>
      <c r="F80" s="84"/>
      <c r="G80" s="84"/>
      <c r="H80" s="84"/>
      <c r="I80" s="84"/>
      <c r="J80" s="84"/>
      <c r="K80" s="84"/>
      <c r="L80" s="84"/>
    </row>
    <row r="81" spans="1:12" ht="17" thickBot="1" x14ac:dyDescent="0.25">
      <c r="A81" s="1" t="s">
        <v>285</v>
      </c>
      <c r="B81" s="5"/>
      <c r="C81" s="53"/>
      <c r="D81" s="49">
        <v>0.1</v>
      </c>
      <c r="E81" s="42">
        <v>5.0000000000000001E-3</v>
      </c>
      <c r="F81" s="5"/>
      <c r="G81" s="5"/>
      <c r="H81" s="5"/>
      <c r="I81" s="5"/>
      <c r="J81" s="5"/>
      <c r="K81" s="5"/>
      <c r="L81" s="5"/>
    </row>
    <row r="82" spans="1:12" x14ac:dyDescent="0.2">
      <c r="A82" s="1"/>
      <c r="B82" s="5"/>
      <c r="C82" s="124" t="s">
        <v>286</v>
      </c>
      <c r="D82" s="137">
        <f>WACC!$D$5+(-2)*$E$81</f>
        <v>6.4000000000000001E-2</v>
      </c>
      <c r="E82" s="137">
        <f>WACC!$D$5+(-1)*$E$81</f>
        <v>6.8999999999999992E-2</v>
      </c>
      <c r="F82" s="137">
        <f>WACC!$D$5+(0)*$E$81</f>
        <v>7.3999999999999996E-2</v>
      </c>
      <c r="G82" s="137">
        <f>WACC!$D$5+(1)*$E$81</f>
        <v>7.9000000000000001E-2</v>
      </c>
      <c r="H82" s="140">
        <f>WACC!$D$5+(2)*$E$81</f>
        <v>8.3999999999999991E-2</v>
      </c>
      <c r="I82" s="5"/>
      <c r="J82" s="5"/>
      <c r="K82" s="5"/>
      <c r="L82" s="5"/>
    </row>
    <row r="83" spans="1:12" x14ac:dyDescent="0.2">
      <c r="A83" s="1"/>
      <c r="B83" s="5"/>
      <c r="C83" s="138">
        <f>WACC!$D$6+(-2)*$D$81</f>
        <v>0.64999999999999991</v>
      </c>
      <c r="D83" s="52" cm="1">
        <f t="array" ref="D83">_xlfn.LET(_xlpm.b_,$C83,_xlpm.rf_,D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1630.0301934738179</v>
      </c>
      <c r="E83" s="52" cm="1">
        <f t="array" ref="E83">_xlfn.LET(_xlpm.b_,$C83,_xlpm.rf_,E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1498.3097513806856</v>
      </c>
      <c r="F83" s="52" cm="1">
        <f t="array" ref="F83">_xlfn.LET(_xlpm.b_,$C83,_xlpm.rf_,F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1387.6335796571796</v>
      </c>
      <c r="G83" s="52" cm="1">
        <f t="array" ref="G83">_xlfn.LET(_xlpm.b_,$C83,_xlpm.rf_,G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1293.3407112219468</v>
      </c>
      <c r="H83" s="135" cm="1">
        <f t="array" ref="H83">_xlfn.LET(_xlpm.b_,$C83,_xlpm.rf_,H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1212.0519021770569</v>
      </c>
      <c r="I83" s="5"/>
      <c r="J83" s="5"/>
      <c r="K83" s="5"/>
      <c r="L83" s="5"/>
    </row>
    <row r="84" spans="1:12" x14ac:dyDescent="0.2">
      <c r="A84" s="1"/>
      <c r="B84" s="5"/>
      <c r="C84" s="138">
        <f>WACC!$D$6+(-1)*$D$81</f>
        <v>0.75</v>
      </c>
      <c r="D84" s="52" cm="1">
        <f t="array" ref="D84">_xlfn.LET(_xlpm.b_,$C84,_xlpm.rf_,D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1474.6629828806874</v>
      </c>
      <c r="E84" s="52" cm="1">
        <f t="array" ref="E84">_xlfn.LET(_xlpm.b_,$C84,_xlpm.rf_,E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1367.5877486232607</v>
      </c>
      <c r="F84" s="52" cm="1">
        <f t="array" ref="F84">_xlfn.LET(_xlpm.b_,$C84,_xlpm.rf_,F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1276.1334536011084</v>
      </c>
      <c r="G84" s="52" cm="1">
        <f t="array" ref="G84">_xlfn.LET(_xlpm.b_,$C84,_xlpm.rf_,G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1197.1217868350375</v>
      </c>
      <c r="H84" s="135" cm="1">
        <f t="array" ref="H84">_xlfn.LET(_xlpm.b_,$C84,_xlpm.rf_,H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1128.181837609696</v>
      </c>
      <c r="I84" s="5"/>
      <c r="J84" s="5"/>
      <c r="K84" s="5"/>
      <c r="L84" s="5"/>
    </row>
    <row r="85" spans="1:12" x14ac:dyDescent="0.2">
      <c r="A85" s="1"/>
      <c r="B85" s="5"/>
      <c r="C85" s="138">
        <f>WACC!$D$6+(0)*$D$81</f>
        <v>0.85</v>
      </c>
      <c r="D85" s="52" cm="1">
        <f t="array" ref="D85">_xlfn.LET(_xlpm.b_,$C85,_xlpm.rf_,D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1348.1630616223549</v>
      </c>
      <c r="E85" s="52" cm="1">
        <f t="array" ref="E85">_xlfn.LET(_xlpm.b_,$C85,_xlpm.rf_,E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1259.4213715889305</v>
      </c>
      <c r="F85" s="95" cm="1">
        <f t="array" ref="F85">_xlfn.LET(_xlpm.b_,$C85,_xlpm.rf_,F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1182.5927609557546</v>
      </c>
      <c r="G85" s="52" cm="1">
        <f t="array" ref="G85">_xlfn.LET(_xlpm.b_,$C85,_xlpm.rf_,G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1115.4356834240759</v>
      </c>
      <c r="H85" s="135" cm="1">
        <f t="array" ref="H85">_xlfn.LET(_xlpm.b_,$C85,_xlpm.rf_,H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1056.2377008482415</v>
      </c>
      <c r="I85" s="5"/>
      <c r="J85" s="5"/>
      <c r="K85" s="5"/>
      <c r="L85" s="5"/>
    </row>
    <row r="86" spans="1:12" x14ac:dyDescent="0.2">
      <c r="A86" s="1"/>
      <c r="B86" s="5"/>
      <c r="C86" s="138">
        <f>WACC!$D$6+(1)*$D$81</f>
        <v>0.95</v>
      </c>
      <c r="D86" s="52" cm="1">
        <f t="array" ref="D86">_xlfn.LET(_xlpm.b_,$C86,_xlpm.rf_,D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1243.183459853243</v>
      </c>
      <c r="E86" s="52" cm="1">
        <f t="array" ref="E86">_xlfn.LET(_xlpm.b_,$C86,_xlpm.rf_,E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1168.4489332748808</v>
      </c>
      <c r="F86" s="52" cm="1">
        <f t="array" ref="F86">_xlfn.LET(_xlpm.b_,$C86,_xlpm.rf_,F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1103.0066906491049</v>
      </c>
      <c r="G86" s="52" cm="1">
        <f t="array" ref="G86">_xlfn.LET(_xlpm.b_,$C86,_xlpm.rf_,G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1045.2306259995278</v>
      </c>
      <c r="H86" s="135" cm="1">
        <f t="array" ref="H86">_xlfn.LET(_xlpm.b_,$C86,_xlpm.rf_,H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993.85308728003304</v>
      </c>
      <c r="I86" s="5"/>
      <c r="J86" s="5"/>
      <c r="K86" s="5"/>
      <c r="L86" s="5"/>
    </row>
    <row r="87" spans="1:12" ht="17" thickBot="1" x14ac:dyDescent="0.25">
      <c r="A87" s="1"/>
      <c r="B87" s="5"/>
      <c r="C87" s="139">
        <f>WACC!$D$6+(2)*$D$81</f>
        <v>1.05</v>
      </c>
      <c r="D87" s="131" cm="1">
        <f t="array" ref="D87">_xlfn.LET(_xlpm.b_,$C87,_xlpm.rf_,D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1154.6752409617036</v>
      </c>
      <c r="E87" s="131" cm="1">
        <f t="array" ref="E87">_xlfn.LET(_xlpm.b_,$C87,_xlpm.rf_,E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1090.8832153673034</v>
      </c>
      <c r="F87" s="131" cm="1">
        <f t="array" ref="F87">_xlfn.LET(_xlpm.b_,$C87,_xlpm.rf_,F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1034.4786561071171</v>
      </c>
      <c r="G87" s="131" cm="1">
        <f t="array" ref="G87">_xlfn.LET(_xlpm.b_,$C87,_xlpm.rf_,G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984.25330726789639</v>
      </c>
      <c r="H87" s="136" cm="1">
        <f t="array" ref="H87">_xlfn.LET(_xlpm.b_,$C87,_xlpm.rf_,H$82,_xlpm.ke_,_xlpm.rf_+_xlpm.b_*WACC!$D$7,_xlpm.w_,WACC!$D$21*_xlpm.ke_+WACC!$D$22*WACC!$D$13,_xlpm.pv_,SUMPRODUCT($H$25:$L$25,1/(1+_xlpm.w_)^$H$27:$L$27),_xlpm.tv_,$L$25*(1+$D$10)/(_xlpm.w_-$D$10)/(1+_xlpm.w_)^$L$27,(_xlpm.pv_+_xlpm.tv_+SUM($D$44:$D$50))/$D$52*(1+_xlpm.ke_)^YEARFRAC($D$5,$D$6,1)+$D$55)</f>
        <v>939.24873737333292</v>
      </c>
      <c r="I87" s="5"/>
      <c r="J87" s="5"/>
      <c r="K87" s="5"/>
      <c r="L87" s="5"/>
    </row>
    <row r="88" spans="1:12" x14ac:dyDescent="0.2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2">
      <c r="A89" s="75" t="s">
        <v>273</v>
      </c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</row>
    <row r="90" spans="1:12" x14ac:dyDescent="0.2">
      <c r="A90" s="80" t="s">
        <v>274</v>
      </c>
      <c r="B90" s="85"/>
      <c r="C90" s="86"/>
      <c r="D90" s="86"/>
      <c r="E90" s="86"/>
      <c r="F90" s="86"/>
      <c r="G90" s="86"/>
      <c r="H90" s="86" t="s">
        <v>102</v>
      </c>
      <c r="I90" s="86" t="s">
        <v>103</v>
      </c>
      <c r="J90" s="86" t="s">
        <v>104</v>
      </c>
      <c r="K90" s="86" t="s">
        <v>105</v>
      </c>
      <c r="L90" s="86" t="s">
        <v>106</v>
      </c>
    </row>
    <row r="91" spans="1:12" x14ac:dyDescent="0.2">
      <c r="A91" s="1" t="s">
        <v>275</v>
      </c>
      <c r="B91" s="5"/>
      <c r="C91" s="5"/>
      <c r="D91" s="5"/>
      <c r="E91" s="5"/>
      <c r="F91" s="5"/>
      <c r="G91" s="5"/>
      <c r="H91" s="41">
        <f>Assumptions!H8</f>
        <v>2.5000000000000001E-2</v>
      </c>
      <c r="I91" s="41">
        <f>Assumptions!I8</f>
        <v>0.05</v>
      </c>
      <c r="J91" s="41">
        <f>Assumptions!J8</f>
        <v>0.06</v>
      </c>
      <c r="K91" s="41">
        <f>Assumptions!K8</f>
        <v>0.06</v>
      </c>
      <c r="L91" s="41">
        <f>Assumptions!L8</f>
        <v>5.5E-2</v>
      </c>
    </row>
    <row r="92" spans="1:12" x14ac:dyDescent="0.2">
      <c r="A92" s="1" t="s">
        <v>276</v>
      </c>
      <c r="B92" s="5"/>
      <c r="C92" s="5"/>
      <c r="D92" s="5"/>
      <c r="E92" s="5"/>
      <c r="F92" s="5"/>
      <c r="G92" s="5"/>
      <c r="H92" s="41">
        <f>Assumptions!H9</f>
        <v>7.0000000000000007E-2</v>
      </c>
      <c r="I92" s="41">
        <f>Assumptions!I9</f>
        <v>2.5000000000000001E-2</v>
      </c>
      <c r="J92" s="41">
        <f>Assumptions!J9</f>
        <v>2.5000000000000001E-2</v>
      </c>
      <c r="K92" s="41">
        <f>Assumptions!K9</f>
        <v>2.5000000000000001E-2</v>
      </c>
      <c r="L92" s="41">
        <f>Assumptions!L9</f>
        <v>2.5000000000000001E-2</v>
      </c>
    </row>
    <row r="93" spans="1:12" x14ac:dyDescent="0.2">
      <c r="A93" s="1" t="s">
        <v>277</v>
      </c>
      <c r="B93" s="5"/>
      <c r="C93" s="5"/>
      <c r="D93" s="5"/>
      <c r="E93" s="5"/>
      <c r="F93" s="5"/>
      <c r="G93" s="5"/>
      <c r="H93" s="41">
        <f>Assumptions!H12</f>
        <v>0.21</v>
      </c>
      <c r="I93" s="41">
        <f>Assumptions!I12</f>
        <v>0.21</v>
      </c>
      <c r="J93" s="41">
        <f>Assumptions!J12</f>
        <v>0.21199999999999999</v>
      </c>
      <c r="K93" s="41">
        <f>Assumptions!K12</f>
        <v>0.21299999999999999</v>
      </c>
      <c r="L93" s="41">
        <f>Assumptions!L12</f>
        <v>0.21299999999999999</v>
      </c>
    </row>
    <row r="94" spans="1:12" x14ac:dyDescent="0.2">
      <c r="A94" s="1" t="s">
        <v>278</v>
      </c>
      <c r="B94" s="5"/>
      <c r="C94" s="5"/>
      <c r="D94" s="5"/>
      <c r="E94" s="5"/>
      <c r="F94" s="5"/>
      <c r="G94" s="5"/>
      <c r="H94" s="41">
        <f>Assumptions!H16</f>
        <v>0.27500000000000002</v>
      </c>
      <c r="I94" s="41">
        <f>Assumptions!I16</f>
        <v>0.27500000000000002</v>
      </c>
      <c r="J94" s="41">
        <f>Assumptions!J16</f>
        <v>0.27500000000000002</v>
      </c>
      <c r="K94" s="41">
        <f>Assumptions!K16</f>
        <v>0.27500000000000002</v>
      </c>
      <c r="L94" s="41">
        <f>Assumptions!L16</f>
        <v>0.27500000000000002</v>
      </c>
    </row>
    <row r="95" spans="1:12" x14ac:dyDescent="0.2">
      <c r="A95" s="1" t="s">
        <v>279</v>
      </c>
      <c r="B95" s="5"/>
      <c r="C95" s="5"/>
      <c r="D95" s="5"/>
      <c r="E95" s="5"/>
      <c r="F95" s="5"/>
      <c r="G95" s="5"/>
      <c r="H95" s="41">
        <f>Assumptions!H13-Assumptions!H14</f>
        <v>1.2E-2</v>
      </c>
      <c r="I95" s="41">
        <f>Assumptions!I13-Assumptions!I14</f>
        <v>1.2E-2</v>
      </c>
      <c r="J95" s="41">
        <f>Assumptions!J13-Assumptions!J14</f>
        <v>1.2E-2</v>
      </c>
      <c r="K95" s="41">
        <f>Assumptions!K13-Assumptions!K14</f>
        <v>1.2E-2</v>
      </c>
      <c r="L95" s="41">
        <f>Assumptions!L13-Assumptions!L14</f>
        <v>1.2E-2</v>
      </c>
    </row>
    <row r="96" spans="1:12" x14ac:dyDescent="0.2">
      <c r="A96" s="1" t="s">
        <v>122</v>
      </c>
      <c r="B96" s="5"/>
      <c r="C96" s="5"/>
      <c r="D96" s="5"/>
      <c r="E96" s="5"/>
      <c r="F96" s="5"/>
      <c r="G96" s="5"/>
      <c r="H96" s="41">
        <f>Assumptions!H23</f>
        <v>5.0999999999999997E-2</v>
      </c>
      <c r="I96" s="41">
        <f>Assumptions!I23</f>
        <v>5.0999999999999997E-2</v>
      </c>
      <c r="J96" s="41">
        <f>Assumptions!J23</f>
        <v>5.0999999999999997E-2</v>
      </c>
      <c r="K96" s="41">
        <f>Assumptions!K23</f>
        <v>5.0999999999999997E-2</v>
      </c>
      <c r="L96" s="41">
        <f>Assumptions!L23</f>
        <v>5.0999999999999997E-2</v>
      </c>
    </row>
    <row r="97" spans="1:12" x14ac:dyDescent="0.2">
      <c r="A97" s="1" t="s">
        <v>123</v>
      </c>
      <c r="B97" s="5"/>
      <c r="C97" s="5"/>
      <c r="D97" s="5"/>
      <c r="E97" s="5"/>
      <c r="F97" s="5"/>
      <c r="G97" s="5"/>
      <c r="H97" s="41">
        <f>Assumptions!H24</f>
        <v>1.6E-2</v>
      </c>
      <c r="I97" s="41">
        <f>Assumptions!I24</f>
        <v>1.6E-2</v>
      </c>
      <c r="J97" s="41">
        <f>Assumptions!J24</f>
        <v>1.6E-2</v>
      </c>
      <c r="K97" s="41">
        <f>Assumptions!K24</f>
        <v>1.6E-2</v>
      </c>
      <c r="L97" s="41">
        <f>Assumptions!L24</f>
        <v>1.6E-2</v>
      </c>
    </row>
    <row r="98" spans="1:12" x14ac:dyDescent="0.2">
      <c r="A98" s="1" t="s">
        <v>280</v>
      </c>
      <c r="B98" s="5"/>
      <c r="C98" s="5"/>
      <c r="D98" s="5"/>
      <c r="E98" s="5"/>
      <c r="F98" s="5"/>
      <c r="G98" s="5"/>
      <c r="H98" s="41">
        <f>Assumptions!H15/365+Assumptions!H20-Assumptions!H21-Assumptions!H22</f>
        <v>0.12826027397260273</v>
      </c>
      <c r="I98" s="41">
        <f>Assumptions!I15/365+Assumptions!I20-Assumptions!I21-Assumptions!I22</f>
        <v>0.12826027397260273</v>
      </c>
      <c r="J98" s="41">
        <f>Assumptions!J15/365+Assumptions!J20-Assumptions!J21-Assumptions!J22</f>
        <v>0.12826027397260273</v>
      </c>
      <c r="K98" s="41">
        <f>Assumptions!K15/365+Assumptions!K20-Assumptions!K21-Assumptions!K22</f>
        <v>0.12826027397260273</v>
      </c>
      <c r="L98" s="41">
        <f>Assumptions!L15/365+Assumptions!L20-Assumptions!L21-Assumptions!L22</f>
        <v>0.12826027397260273</v>
      </c>
    </row>
    <row r="99" spans="1:12" x14ac:dyDescent="0.2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">
      <c r="A100" s="1" t="s">
        <v>287</v>
      </c>
      <c r="B100" s="5"/>
      <c r="C100" s="5"/>
      <c r="D100" s="34">
        <f>ROUND(ABS(F67-$D$56)+ABS(F76-$D$56)+ABS(F85-$D$56),6)</f>
        <v>0</v>
      </c>
      <c r="E100" s="5"/>
      <c r="F100" s="5"/>
      <c r="G100" s="5"/>
      <c r="H100" s="5"/>
      <c r="I100" s="5"/>
      <c r="J100" s="5"/>
      <c r="K100" s="5"/>
      <c r="L10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4C75-5909-5E4B-BD41-71458CA9F67F}">
  <sheetPr>
    <tabColor rgb="FF616363"/>
  </sheetPr>
  <dimension ref="A1:C12"/>
  <sheetViews>
    <sheetView showGridLines="0" workbookViewId="0"/>
  </sheetViews>
  <sheetFormatPr baseColWidth="10" defaultRowHeight="16" x14ac:dyDescent="0.2"/>
  <cols>
    <col min="1" max="1" width="48.33203125" customWidth="1"/>
    <col min="2" max="2" width="25" customWidth="1"/>
    <col min="3" max="3" width="80" customWidth="1"/>
  </cols>
  <sheetData>
    <row r="1" spans="1:3" ht="18" x14ac:dyDescent="0.2">
      <c r="A1" s="142" t="s">
        <v>356</v>
      </c>
      <c r="B1" s="141"/>
      <c r="C1" s="141"/>
    </row>
    <row r="2" spans="1:3" x14ac:dyDescent="0.2">
      <c r="A2" s="141"/>
      <c r="B2" s="141"/>
      <c r="C2" s="141"/>
    </row>
    <row r="3" spans="1:3" x14ac:dyDescent="0.2">
      <c r="A3" s="143" t="s">
        <v>82</v>
      </c>
      <c r="B3" s="143" t="s">
        <v>357</v>
      </c>
      <c r="C3" s="143" t="s">
        <v>358</v>
      </c>
    </row>
    <row r="4" spans="1:3" ht="30" customHeight="1" x14ac:dyDescent="0.2">
      <c r="A4" s="141" t="s">
        <v>359</v>
      </c>
      <c r="B4" s="141" t="s">
        <v>360</v>
      </c>
      <c r="C4" s="141" t="s">
        <v>361</v>
      </c>
    </row>
    <row r="5" spans="1:3" ht="30" customHeight="1" x14ac:dyDescent="0.2">
      <c r="A5" s="141" t="s">
        <v>362</v>
      </c>
      <c r="B5" s="141" t="s">
        <v>363</v>
      </c>
      <c r="C5" s="141" t="s">
        <v>364</v>
      </c>
    </row>
    <row r="6" spans="1:3" ht="30" customHeight="1" x14ac:dyDescent="0.2">
      <c r="A6" s="141" t="s">
        <v>365</v>
      </c>
      <c r="B6" s="141" t="s">
        <v>366</v>
      </c>
      <c r="C6" s="141" t="s">
        <v>367</v>
      </c>
    </row>
    <row r="7" spans="1:3" ht="30" customHeight="1" x14ac:dyDescent="0.2">
      <c r="A7" s="141" t="s">
        <v>368</v>
      </c>
      <c r="B7" s="141" t="s">
        <v>369</v>
      </c>
      <c r="C7" s="141" t="s">
        <v>370</v>
      </c>
    </row>
    <row r="8" spans="1:3" ht="30" customHeight="1" x14ac:dyDescent="0.2">
      <c r="A8" s="141" t="s">
        <v>371</v>
      </c>
      <c r="B8" s="141" t="s">
        <v>372</v>
      </c>
      <c r="C8" s="141" t="s">
        <v>373</v>
      </c>
    </row>
    <row r="9" spans="1:3" ht="30" customHeight="1" x14ac:dyDescent="0.2">
      <c r="A9" s="141" t="s">
        <v>374</v>
      </c>
      <c r="B9" s="141" t="s">
        <v>375</v>
      </c>
      <c r="C9" s="141" t="s">
        <v>376</v>
      </c>
    </row>
    <row r="10" spans="1:3" ht="30" customHeight="1" x14ac:dyDescent="0.2">
      <c r="A10" s="141" t="s">
        <v>377</v>
      </c>
      <c r="B10" s="141" t="s">
        <v>378</v>
      </c>
      <c r="C10" s="141" t="s">
        <v>379</v>
      </c>
    </row>
    <row r="11" spans="1:3" ht="30" customHeight="1" x14ac:dyDescent="0.2">
      <c r="A11" s="141" t="s">
        <v>380</v>
      </c>
      <c r="B11" s="141" t="s">
        <v>381</v>
      </c>
      <c r="C11" s="141" t="s">
        <v>382</v>
      </c>
    </row>
    <row r="12" spans="1:3" ht="30" customHeight="1" x14ac:dyDescent="0.2">
      <c r="A12" s="141" t="s">
        <v>383</v>
      </c>
      <c r="B12" s="141" t="s">
        <v>384</v>
      </c>
      <c r="C12" s="141" t="s">
        <v>385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69AE-1687-0F43-957D-9B3F346068D0}">
  <sheetPr>
    <tabColor rgb="FF616363"/>
  </sheetPr>
  <dimension ref="A1:M19"/>
  <sheetViews>
    <sheetView showGridLines="0"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55" customWidth="1"/>
    <col min="2" max="2" width="2" customWidth="1"/>
    <col min="3" max="13" width="12.33203125" customWidth="1"/>
  </cols>
  <sheetData>
    <row r="1" spans="1:13" ht="18" x14ac:dyDescent="0.2">
      <c r="A1" s="79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74" t="s">
        <v>289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3" t="s">
        <v>290</v>
      </c>
      <c r="B3" s="3"/>
      <c r="C3" s="63" t="str">
        <f>IF(COUNTIF(M5:M19,"ERROR")=0,"✓ ALL CHECKS PASS","✗ ERRORS — REVIEW BELOW")</f>
        <v>✓ ALL CHECKS PASS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">
      <c r="A4" s="80" t="s">
        <v>291</v>
      </c>
      <c r="B4" s="80"/>
      <c r="C4" s="81" t="s">
        <v>3</v>
      </c>
      <c r="D4" s="81" t="s">
        <v>4</v>
      </c>
      <c r="E4" s="81" t="s">
        <v>5</v>
      </c>
      <c r="F4" s="81" t="s">
        <v>6</v>
      </c>
      <c r="G4" s="81" t="s">
        <v>7</v>
      </c>
      <c r="H4" s="108" t="s">
        <v>102</v>
      </c>
      <c r="I4" s="81" t="s">
        <v>103</v>
      </c>
      <c r="J4" s="81" t="s">
        <v>104</v>
      </c>
      <c r="K4" s="81" t="s">
        <v>105</v>
      </c>
      <c r="L4" s="81" t="s">
        <v>106</v>
      </c>
      <c r="M4" s="81" t="s">
        <v>292</v>
      </c>
    </row>
    <row r="5" spans="1:13" x14ac:dyDescent="0.2">
      <c r="A5" s="1" t="s">
        <v>293</v>
      </c>
      <c r="B5" s="5"/>
      <c r="C5" s="61">
        <f>BS!C32</f>
        <v>0</v>
      </c>
      <c r="D5" s="61">
        <f>BS!D32</f>
        <v>0</v>
      </c>
      <c r="E5" s="61">
        <f>BS!E32</f>
        <v>0</v>
      </c>
      <c r="F5" s="61">
        <f>BS!F32</f>
        <v>0</v>
      </c>
      <c r="G5" s="61">
        <f>BS!G32</f>
        <v>0</v>
      </c>
      <c r="H5" s="120">
        <f>BS!H32</f>
        <v>0</v>
      </c>
      <c r="I5" s="61">
        <f>BS!I32</f>
        <v>0</v>
      </c>
      <c r="J5" s="61">
        <f>BS!J32</f>
        <v>0</v>
      </c>
      <c r="K5" s="61">
        <f>BS!K32</f>
        <v>0</v>
      </c>
      <c r="L5" s="61">
        <f>BS!L32</f>
        <v>0</v>
      </c>
      <c r="M5" s="60" t="str" cm="1">
        <f t="array" ref="M5">IF(SUMPRODUCT(ABS(N(+C5:L5)))&lt;0.5,"OK","ERROR")</f>
        <v>OK</v>
      </c>
    </row>
    <row r="6" spans="1:13" x14ac:dyDescent="0.2">
      <c r="A6" s="1" t="s">
        <v>294</v>
      </c>
      <c r="B6" s="5"/>
      <c r="C6" s="61">
        <f>CF!C31-BS!C6</f>
        <v>0</v>
      </c>
      <c r="D6" s="61">
        <f>CF!D31-BS!D6</f>
        <v>0</v>
      </c>
      <c r="E6" s="61">
        <f>CF!E31-BS!E6</f>
        <v>0</v>
      </c>
      <c r="F6" s="61">
        <f>CF!F31-BS!F6</f>
        <v>0</v>
      </c>
      <c r="G6" s="61">
        <f>CF!G31-BS!G6</f>
        <v>0</v>
      </c>
      <c r="H6" s="120">
        <f>CF!H31-BS!H6</f>
        <v>0</v>
      </c>
      <c r="I6" s="61">
        <f>CF!I31-BS!I6</f>
        <v>0</v>
      </c>
      <c r="J6" s="61">
        <f>CF!J31-BS!J6</f>
        <v>0</v>
      </c>
      <c r="K6" s="61">
        <f>CF!K31-BS!K6</f>
        <v>0</v>
      </c>
      <c r="L6" s="61">
        <f>CF!L31-BS!L6</f>
        <v>0</v>
      </c>
      <c r="M6" s="60" t="str" cm="1">
        <f t="array" ref="M6">IF(SUMPRODUCT(ABS(N(+C6:L6)))&lt;0.5,"OK","ERROR")</f>
        <v>OK</v>
      </c>
    </row>
    <row r="7" spans="1:13" x14ac:dyDescent="0.2">
      <c r="A7" s="1" t="s">
        <v>295</v>
      </c>
      <c r="B7" s="5"/>
      <c r="C7" s="61">
        <f>IS!C30</f>
        <v>0</v>
      </c>
      <c r="D7" s="61">
        <f>IS!D30</f>
        <v>0</v>
      </c>
      <c r="E7" s="61">
        <f>IS!E30</f>
        <v>0</v>
      </c>
      <c r="F7" s="61">
        <f>IS!F30</f>
        <v>0</v>
      </c>
      <c r="G7" s="61">
        <f>IS!G30</f>
        <v>0</v>
      </c>
      <c r="H7" s="121"/>
      <c r="I7" s="62"/>
      <c r="J7" s="62"/>
      <c r="K7" s="62"/>
      <c r="L7" s="62"/>
      <c r="M7" s="60" t="str" cm="1">
        <f t="array" ref="M7">IF(SUMPRODUCT(ABS(N(+C7:L7)))&lt;0.5,"OK","ERROR")</f>
        <v>OK</v>
      </c>
    </row>
    <row r="8" spans="1:13" x14ac:dyDescent="0.2">
      <c r="A8" s="1" t="s">
        <v>296</v>
      </c>
      <c r="B8" s="5"/>
      <c r="C8" s="61">
        <f>BS!C15-Hist!C48</f>
        <v>0</v>
      </c>
      <c r="D8" s="61">
        <f>BS!D15-Hist!D48</f>
        <v>0</v>
      </c>
      <c r="E8" s="61">
        <f>BS!E15-Hist!E48</f>
        <v>0</v>
      </c>
      <c r="F8" s="61">
        <f>BS!F15-Hist!F48</f>
        <v>0</v>
      </c>
      <c r="G8" s="61">
        <f>BS!G15-Hist!G48</f>
        <v>0</v>
      </c>
      <c r="H8" s="121"/>
      <c r="I8" s="62"/>
      <c r="J8" s="62"/>
      <c r="K8" s="62"/>
      <c r="L8" s="62"/>
      <c r="M8" s="60" t="str" cm="1">
        <f t="array" ref="M8">IF(SUMPRODUCT(ABS(N(+C8:L8)))&lt;0.5,"OK","ERROR")</f>
        <v>OK</v>
      </c>
    </row>
    <row r="9" spans="1:13" x14ac:dyDescent="0.2">
      <c r="A9" s="1" t="s">
        <v>297</v>
      </c>
      <c r="B9" s="5"/>
      <c r="C9" s="61">
        <f>BS!C31-Hist!C65</f>
        <v>0</v>
      </c>
      <c r="D9" s="61">
        <f>BS!D31-Hist!D65</f>
        <v>0</v>
      </c>
      <c r="E9" s="61">
        <f>BS!E31-Hist!E65</f>
        <v>0</v>
      </c>
      <c r="F9" s="61">
        <f>BS!F31-Hist!F65</f>
        <v>0</v>
      </c>
      <c r="G9" s="61">
        <f>BS!G31-Hist!G65</f>
        <v>0</v>
      </c>
      <c r="H9" s="121"/>
      <c r="I9" s="62"/>
      <c r="J9" s="62"/>
      <c r="K9" s="62"/>
      <c r="L9" s="62"/>
      <c r="M9" s="60" t="str" cm="1">
        <f t="array" ref="M9">IF(SUMPRODUCT(ABS(N(+C9:L9)))&lt;0.5,"OK","ERROR")</f>
        <v>OK</v>
      </c>
    </row>
    <row r="10" spans="1:13" x14ac:dyDescent="0.2">
      <c r="A10" s="1" t="s">
        <v>298</v>
      </c>
      <c r="B10" s="5"/>
      <c r="C10" s="61">
        <f>CF!C31-Hist!C78</f>
        <v>0</v>
      </c>
      <c r="D10" s="61">
        <f>CF!D31-Hist!D78</f>
        <v>0</v>
      </c>
      <c r="E10" s="61">
        <f>CF!E31-Hist!E78</f>
        <v>0</v>
      </c>
      <c r="F10" s="61">
        <f>CF!F31-Hist!F78</f>
        <v>0</v>
      </c>
      <c r="G10" s="61">
        <f>CF!G31-Hist!G78</f>
        <v>0</v>
      </c>
      <c r="H10" s="121"/>
      <c r="I10" s="62"/>
      <c r="J10" s="62"/>
      <c r="K10" s="62"/>
      <c r="L10" s="62"/>
      <c r="M10" s="60" t="str" cm="1">
        <f t="array" ref="M10">IF(SUMPRODUCT(ABS(N(+C10:L10)))&lt;0.5,"OK","ERROR")</f>
        <v>OK</v>
      </c>
    </row>
    <row r="11" spans="1:13" x14ac:dyDescent="0.2">
      <c r="A11" s="1" t="s">
        <v>299</v>
      </c>
      <c r="B11" s="5"/>
      <c r="C11" s="62"/>
      <c r="D11" s="61">
        <f>CF!D30-CF!C31</f>
        <v>0</v>
      </c>
      <c r="E11" s="61">
        <f>CF!E30-CF!D31</f>
        <v>0</v>
      </c>
      <c r="F11" s="61">
        <f>CF!F30-CF!E31</f>
        <v>0</v>
      </c>
      <c r="G11" s="61">
        <f>CF!G30-CF!F31</f>
        <v>0</v>
      </c>
      <c r="H11" s="121"/>
      <c r="I11" s="62"/>
      <c r="J11" s="62"/>
      <c r="K11" s="62"/>
      <c r="L11" s="62"/>
      <c r="M11" s="60" t="str" cm="1">
        <f t="array" ref="M11">IF(SUMPRODUCT(ABS(N(+C11:L11)))&lt;0.5,"OK","ERROR")</f>
        <v>OK</v>
      </c>
    </row>
    <row r="12" spans="1:13" x14ac:dyDescent="0.2">
      <c r="A12" s="1" t="s">
        <v>300</v>
      </c>
      <c r="B12" s="5"/>
      <c r="C12" s="62"/>
      <c r="D12" s="62"/>
      <c r="E12" s="62"/>
      <c r="F12" s="62"/>
      <c r="G12" s="62"/>
      <c r="H12" s="120">
        <f>CF!H6-IS!H23</f>
        <v>0</v>
      </c>
      <c r="I12" s="61">
        <f>CF!I6-IS!I23</f>
        <v>0</v>
      </c>
      <c r="J12" s="61">
        <f>CF!J6-IS!J23</f>
        <v>0</v>
      </c>
      <c r="K12" s="61">
        <f>CF!K6-IS!K23</f>
        <v>0</v>
      </c>
      <c r="L12" s="61">
        <f>CF!L6-IS!L23</f>
        <v>0</v>
      </c>
      <c r="M12" s="60" t="str" cm="1">
        <f t="array" ref="M12">IF(SUMPRODUCT(ABS(N(+C12:L12)))&lt;0.5,"OK","ERROR")</f>
        <v>OK</v>
      </c>
    </row>
    <row r="13" spans="1:13" x14ac:dyDescent="0.2">
      <c r="A13" s="1" t="s">
        <v>301</v>
      </c>
      <c r="B13" s="5"/>
      <c r="C13" s="62"/>
      <c r="D13" s="62"/>
      <c r="E13" s="62"/>
      <c r="F13" s="62"/>
      <c r="G13" s="62"/>
      <c r="H13" s="120">
        <f>BS!G30+IS!H23+IS!H29+CF!H24+CF!H25-BS!H30</f>
        <v>0</v>
      </c>
      <c r="I13" s="61">
        <f>BS!H30+IS!I23+IS!I29+CF!I24+CF!I25-BS!I30</f>
        <v>0</v>
      </c>
      <c r="J13" s="61">
        <f>BS!I30+IS!J23+IS!J29+CF!J24+CF!J25-BS!J30</f>
        <v>0</v>
      </c>
      <c r="K13" s="61">
        <f>BS!J30+IS!K23+IS!K29+CF!K24+CF!K25-BS!K30</f>
        <v>0</v>
      </c>
      <c r="L13" s="61">
        <f>BS!K30+IS!L23+IS!L29+CF!L24+CF!L25-BS!L30</f>
        <v>0</v>
      </c>
      <c r="M13" s="60" t="str" cm="1">
        <f t="array" ref="M13">IF(SUMPRODUCT(ABS(N(+C13:L13)))&lt;0.5,"OK","ERROR")</f>
        <v>OK</v>
      </c>
    </row>
    <row r="14" spans="1:13" x14ac:dyDescent="0.2">
      <c r="A14" s="1" t="s">
        <v>302</v>
      </c>
      <c r="B14" s="5"/>
      <c r="C14" s="62"/>
      <c r="D14" s="62"/>
      <c r="E14" s="62"/>
      <c r="F14" s="62"/>
      <c r="G14" s="62"/>
      <c r="H14" s="120">
        <f>CF!H30-CF!G31</f>
        <v>0</v>
      </c>
      <c r="I14" s="61">
        <f>CF!I30-CF!H31</f>
        <v>0</v>
      </c>
      <c r="J14" s="61">
        <f>CF!J30-CF!I31</f>
        <v>0</v>
      </c>
      <c r="K14" s="61">
        <f>CF!K30-CF!J31</f>
        <v>0</v>
      </c>
      <c r="L14" s="61">
        <f>CF!L30-CF!K31</f>
        <v>0</v>
      </c>
      <c r="M14" s="60" t="str" cm="1">
        <f t="array" ref="M14">IF(SUMPRODUCT(ABS(N(+C14:L14)))&lt;0.5,"OK","ERROR")</f>
        <v>OK</v>
      </c>
    </row>
    <row r="15" spans="1:13" x14ac:dyDescent="0.2">
      <c r="A15" s="1" t="s">
        <v>303</v>
      </c>
      <c r="B15" s="5"/>
      <c r="C15" s="62"/>
      <c r="D15" s="62"/>
      <c r="E15" s="62"/>
      <c r="F15" s="62"/>
      <c r="G15" s="62"/>
      <c r="H15" s="120">
        <f>DCF!H16-IS!H6</f>
        <v>0</v>
      </c>
      <c r="I15" s="61">
        <f>DCF!I16-IS!I6</f>
        <v>0</v>
      </c>
      <c r="J15" s="61">
        <f>DCF!J16-IS!J6</f>
        <v>0</v>
      </c>
      <c r="K15" s="61">
        <f>DCF!K16-IS!K6</f>
        <v>0</v>
      </c>
      <c r="L15" s="61">
        <f>DCF!L16-IS!L6</f>
        <v>0</v>
      </c>
      <c r="M15" s="60" t="str" cm="1">
        <f t="array" ref="M15">IF(SUMPRODUCT(ABS(N(+C15:L15)))&lt;0.5,"OK","ERROR")</f>
        <v>OK</v>
      </c>
    </row>
    <row r="16" spans="1:13" x14ac:dyDescent="0.2">
      <c r="A16" s="1" t="s">
        <v>304</v>
      </c>
      <c r="B16" s="5"/>
      <c r="C16" s="61">
        <f>IF(DCF!D10&lt;DCF!D9,0,1)</f>
        <v>0</v>
      </c>
      <c r="D16" s="62"/>
      <c r="E16" s="62"/>
      <c r="F16" s="62"/>
      <c r="G16" s="62"/>
      <c r="H16" s="121"/>
      <c r="I16" s="62"/>
      <c r="J16" s="62"/>
      <c r="K16" s="62"/>
      <c r="L16" s="62"/>
      <c r="M16" s="60" t="str">
        <f>IF(ABS(C16)&lt;0.5,"OK","ERROR")</f>
        <v>OK</v>
      </c>
    </row>
    <row r="17" spans="1:13" x14ac:dyDescent="0.2">
      <c r="A17" s="1" t="s">
        <v>305</v>
      </c>
      <c r="B17" s="5"/>
      <c r="C17" s="61">
        <f>DCF!D100</f>
        <v>0</v>
      </c>
      <c r="D17" s="62"/>
      <c r="E17" s="62"/>
      <c r="F17" s="62"/>
      <c r="G17" s="62"/>
      <c r="H17" s="121"/>
      <c r="I17" s="62"/>
      <c r="J17" s="62"/>
      <c r="K17" s="62"/>
      <c r="L17" s="62"/>
      <c r="M17" s="60" t="str">
        <f>IF(ABS(C17)&lt;0.5,"OK","ERROR")</f>
        <v>OK</v>
      </c>
    </row>
    <row r="18" spans="1:13" x14ac:dyDescent="0.2">
      <c r="A18" s="1" t="s">
        <v>306</v>
      </c>
      <c r="B18" s="5"/>
      <c r="C18" s="61">
        <f>IF(AND(MIN(BS!H12:L12)&gt;0,MIN(BS!H6:L6)&gt;=0),0,1)</f>
        <v>0</v>
      </c>
      <c r="D18" s="62"/>
      <c r="E18" s="62"/>
      <c r="F18" s="62"/>
      <c r="G18" s="62"/>
      <c r="H18" s="121"/>
      <c r="I18" s="62"/>
      <c r="J18" s="62"/>
      <c r="K18" s="62"/>
      <c r="L18" s="62"/>
      <c r="M18" s="60" t="str">
        <f>IF(ABS(C18)&lt;0.5,"OK","ERROR")</f>
        <v>OK</v>
      </c>
    </row>
    <row r="19" spans="1:13" x14ac:dyDescent="0.2">
      <c r="A19" s="1" t="s">
        <v>307</v>
      </c>
      <c r="B19" s="5"/>
      <c r="C19" s="61">
        <f>IF(OR(Assumptions!D4=1,Assumptions!D4=2,Assumptions!D4=3),0,1)</f>
        <v>0</v>
      </c>
      <c r="D19" s="62"/>
      <c r="E19" s="62"/>
      <c r="F19" s="62"/>
      <c r="G19" s="62"/>
      <c r="H19" s="121"/>
      <c r="I19" s="62"/>
      <c r="J19" s="62"/>
      <c r="K19" s="62"/>
      <c r="L19" s="62"/>
      <c r="M19" s="60" t="str">
        <f>IF(ABS(C19)&lt;0.5,"OK","ERROR")</f>
        <v>OK</v>
      </c>
    </row>
  </sheetData>
  <conditionalFormatting sqref="M5:M19">
    <cfRule type="containsText" dxfId="2" priority="1" operator="containsText" text="ERROR">
      <formula>NOT(ISERROR(SEARCH("ERROR",M5)))</formula>
    </cfRule>
  </conditionalFormatting>
  <conditionalFormatting sqref="M5:M19">
    <cfRule type="containsText" dxfId="1" priority="2" operator="containsText" text="OK">
      <formula>NOT(ISERROR(SEARCH("OK",M5)))</formula>
    </cfRule>
  </conditionalFormatting>
  <conditionalFormatting sqref="C3">
    <cfRule type="containsText" dxfId="0" priority="3" operator="containsText" text="ERROR">
      <formula>NOT(ISERROR(SEARCH("ERROR",C3)))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Hist</vt:lpstr>
      <vt:lpstr>Assumptions</vt:lpstr>
      <vt:lpstr>IS</vt:lpstr>
      <vt:lpstr>BS</vt:lpstr>
      <vt:lpstr>CF</vt:lpstr>
      <vt:lpstr>WACC</vt:lpstr>
      <vt:lpstr>DCF</vt:lpstr>
      <vt:lpstr>Sources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Bishal Pegu</dc:creator>
  <cp:lastModifiedBy>Bishal Pegu</cp:lastModifiedBy>
  <dcterms:created xsi:type="dcterms:W3CDTF">2026-10-23T11:17:13Z</dcterms:created>
  <dcterms:modified xsi:type="dcterms:W3CDTF">2026-10-23T12:50:47Z</dcterms:modified>
</cp:coreProperties>
</file>